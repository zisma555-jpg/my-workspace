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family val="2"/>
        <color rgb="FFCD0003"/>
      </font>
      <fill>
        <patternFill patternType="solid">
          <bgColor rgb="FFF6C5C6"/>
        </patternFill>
      </fill>
    </dxf>
    <dxf>
      <font>
        <family val="2"/>
        <color rgb="FF000000"/>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4" max="14" width="68.33333333333333" customWidth="1"/>
    <col min="13" max="13" width="20" customWidth="1"/>
    <col min="12" max="12" width="18.333333333333332" customWidth="1"/>
    <col min="11" max="11" width="18.333333333333332" customWidth="1"/>
    <col min="10" max="10" width="18.333333333333332" customWidth="1"/>
    <col min="9" max="9" width="18.333333333333332" customWidth="1"/>
    <col min="8" max="8" width="18.333333333333332" customWidth="1"/>
    <col min="7" max="7" width="20" customWidth="1"/>
    <col min="6" max="6" width="15.833333333333334" customWidth="1"/>
    <col min="5" max="5" width="20" customWidth="1"/>
    <col min="4" max="4" width="20" customWidth="1"/>
    <col min="3" max="3" width="15.833333333333334" customWidth="1"/>
    <col min="2" max="2" width="15.833333333333334" customWidth="1"/>
    <col min="1" max="1" width="15.83333333333333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 RUB</t>
        </is>
      </c>
      <c r="K1" s="1" t="inlineStr">
        <is>
          <t>Текущая скидка</t>
        </is>
      </c>
      <c r="L1" s="5" t="inlineStr">
        <is>
          <t>Новая скидка</t>
        </is>
      </c>
      <c r="M1" s="1" t="inlineStr">
        <is>
          <t>Цена со скидкой</t>
        </is>
      </c>
      <c r="N1" s="1" t="inlineStr">
        <is>
          <t>Наличие ошибки</t>
        </is>
      </c>
    </row>
    <row r="2">
      <c r="A2" s="2" t="inlineStr">
        <is>
          <t>Крымский Хан</t>
        </is>
      </c>
      <c r="B2" s="2" t="inlineStr">
        <is>
          <t>Ключницы</t>
        </is>
      </c>
      <c r="C2" s="2">
        <v>37915516</v>
      </c>
      <c r="D2" s="2" t="inlineStr">
        <is>
          <t>KH3016KH3016</t>
        </is>
      </c>
      <c r="E2" s="2" t="inlineStr">
        <is>
          <t>2006872173031</t>
        </is>
      </c>
      <c r="F2" s="2" t="inlineStr">
        <is>
          <t/>
        </is>
      </c>
      <c r="G2" s="2" t="inlineStr">
        <is>
          <t/>
        </is>
      </c>
      <c r="H2" s="2">
        <v>0</v>
      </c>
      <c r="I2" s="2" t="inlineStr">
        <is>
          <t>596</t>
        </is>
      </c>
      <c r="J2" s="4"/>
      <c r="K2" s="2">
        <v>15</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20000000",IF(NOT(ABS(IFERROR(VALUE(LEFT(M2,FIND("-",M2)-1)),M2)*100-(2500+2000000000)/2)&lt;=ABS(2500-2000000000)/2),"Цена со скидкой должна быть от 25 до 20000000",IF(IFERROR(VALUE(LEFT(M2,FIND("-",M2)-1)),M2)*229&lt;50660,"Вы уменьшили цену в несколько раз, товар попадет в карантин цен",IF(AND(IFERROR(VALUE(I2),0)=0,ISNUMBER(J2),OR(J2&lt;209,ABS(IFERROR(VALUE(LEFT(M2,FIND("-",M2)-1)),M2))*100&lt;20900)),"Проверьте цену товара. Большинство товаров в выбранной категории стоят дороже 209",""))))),"")</f>
      </c>
    </row>
    <row r="3">
      <c r="A3" s="2" t="inlineStr">
        <is>
          <t>Крымский Хан</t>
        </is>
      </c>
      <c r="B3" s="2" t="inlineStr">
        <is>
          <t>Ключницы</t>
        </is>
      </c>
      <c r="C3" s="2">
        <v>37915513</v>
      </c>
      <c r="D3" s="2" t="inlineStr">
        <is>
          <t>KH3012KH3012</t>
        </is>
      </c>
      <c r="E3" s="2" t="inlineStr">
        <is>
          <t>2006872173079</t>
        </is>
      </c>
      <c r="F3" s="2">
        <v>0</v>
      </c>
      <c r="G3" s="2">
        <v>0</v>
      </c>
      <c r="H3" s="2">
        <v>0</v>
      </c>
      <c r="I3" s="2" t="inlineStr">
        <is>
          <t>428</t>
        </is>
      </c>
      <c r="J3" s="4"/>
      <c r="K3" s="2">
        <v>15</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20000000",IF(NOT(ABS(IFERROR(VALUE(LEFT(M3,FIND("-",M3)-1)),M3)*100-(2500+2000000000)/2)&lt;=ABS(2500-2000000000)/2),"Цена со скидкой должна быть от 25 до 20000000",IF(IFERROR(VALUE(LEFT(M3,FIND("-",M3)-1)),M3)*229&lt;36380,"Вы уменьшили цену в несколько раз, товар попадет в карантин цен",IF(AND(IFERROR(VALUE(I3),0)=0,ISNUMBER(J3),OR(J3&lt;209,ABS(IFERROR(VALUE(LEFT(M3,FIND("-",M3)-1)),M3))*100&lt;20900)),"Проверьте цену товара. Большинство товаров в выбранной категории стоят дороже 209",""))))),"")</f>
      </c>
    </row>
    <row r="4">
      <c r="A4" s="2" t="inlineStr">
        <is>
          <t>Крымский Хан</t>
        </is>
      </c>
      <c r="B4" s="2" t="inlineStr">
        <is>
          <t>Ключницы</t>
        </is>
      </c>
      <c r="C4" s="2">
        <v>37915517</v>
      </c>
      <c r="D4" s="2" t="inlineStr">
        <is>
          <t>KH3015KH3015</t>
        </is>
      </c>
      <c r="E4" s="2" t="inlineStr">
        <is>
          <t>2006872173048</t>
        </is>
      </c>
      <c r="F4" s="2" t="inlineStr">
        <is>
          <t/>
        </is>
      </c>
      <c r="G4" s="2" t="inlineStr">
        <is>
          <t/>
        </is>
      </c>
      <c r="H4" s="2">
        <v>0</v>
      </c>
      <c r="I4" s="2" t="inlineStr">
        <is>
          <t>596</t>
        </is>
      </c>
      <c r="J4" s="4"/>
      <c r="K4" s="2">
        <v>15</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20000000",IF(NOT(ABS(IFERROR(VALUE(LEFT(M4,FIND("-",M4)-1)),M4)*100-(2500+2000000000)/2)&lt;=ABS(2500-2000000000)/2),"Цена со скидкой должна быть от 25 до 20000000",IF(IFERROR(VALUE(LEFT(M4,FIND("-",M4)-1)),M4)*229&lt;50660,"Вы уменьшили цену в несколько раз, товар попадет в карантин цен",IF(AND(IFERROR(VALUE(I4),0)=0,ISNUMBER(J4),OR(J4&lt;209,ABS(IFERROR(VALUE(LEFT(M4,FIND("-",M4)-1)),M4))*100&lt;20900)),"Проверьте цену товара. Большинство товаров в выбранной категории стоят дороже 209",""))))),"")</f>
      </c>
    </row>
    <row r="5">
      <c r="A5" s="2" t="inlineStr">
        <is>
          <t>Крымский Хан</t>
        </is>
      </c>
      <c r="B5" s="2" t="inlineStr">
        <is>
          <t>Ключницы</t>
        </is>
      </c>
      <c r="C5" s="2">
        <v>37915514</v>
      </c>
      <c r="D5" s="2" t="inlineStr">
        <is>
          <t>KH3014KH3014</t>
        </is>
      </c>
      <c r="E5" s="2" t="inlineStr">
        <is>
          <t>2006872173055</t>
        </is>
      </c>
      <c r="F5" s="2" t="inlineStr">
        <is>
          <t/>
        </is>
      </c>
      <c r="G5" s="2" t="inlineStr">
        <is>
          <t/>
        </is>
      </c>
      <c r="H5" s="2">
        <v>0</v>
      </c>
      <c r="I5" s="2" t="inlineStr">
        <is>
          <t>596</t>
        </is>
      </c>
      <c r="J5" s="4"/>
      <c r="K5" s="2">
        <v>15</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20000000",IF(NOT(ABS(IFERROR(VALUE(LEFT(M5,FIND("-",M5)-1)),M5)*100-(2500+2000000000)/2)&lt;=ABS(2500-2000000000)/2),"Цена со скидкой должна быть от 25 до 20000000",IF(IFERROR(VALUE(LEFT(M5,FIND("-",M5)-1)),M5)*229&lt;50660,"Вы уменьшили цену в несколько раз, товар попадет в карантин цен",IF(AND(IFERROR(VALUE(I5),0)=0,ISNUMBER(J5),OR(J5&lt;209,ABS(IFERROR(VALUE(LEFT(M5,FIND("-",M5)-1)),M5))*100&lt;20900)),"Проверьте цену товара. Большинство товаров в выбранной категории стоят дороже 209",""))))),"")</f>
      </c>
    </row>
    <row r="6">
      <c r="A6" s="2" t="inlineStr">
        <is>
          <t>Крымский Хан</t>
        </is>
      </c>
      <c r="B6" s="2" t="inlineStr">
        <is>
          <t>Ключницы</t>
        </is>
      </c>
      <c r="C6" s="2">
        <v>37915515</v>
      </c>
      <c r="D6" s="2" t="inlineStr">
        <is>
          <t>KH3013KH3013</t>
        </is>
      </c>
      <c r="E6" s="2" t="inlineStr">
        <is>
          <t>2006872173062</t>
        </is>
      </c>
      <c r="F6" s="2" t="inlineStr">
        <is>
          <t/>
        </is>
      </c>
      <c r="G6" s="2" t="inlineStr">
        <is>
          <t/>
        </is>
      </c>
      <c r="H6" s="2" t="inlineStr">
        <is>
          <t/>
        </is>
      </c>
      <c r="I6" s="2" t="inlineStr">
        <is>
          <t>650</t>
        </is>
      </c>
      <c r="J6" s="4"/>
      <c r="K6" s="2">
        <v>15</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20000000",IF(NOT(ABS(IFERROR(VALUE(LEFT(M6,FIND("-",M6)-1)),M6)*100-(2500+2000000000)/2)&lt;=ABS(2500-2000000000)/2),"Цена со скидкой должна быть от 25 до 20000000",IF(IFERROR(VALUE(LEFT(M6,FIND("-",M6)-1)),M6)*229&lt;55250,"Вы уменьшили цену в несколько раз, товар попадет в карантин цен",IF(AND(IFERROR(VALUE(I6),0)=0,ISNUMBER(J6),OR(J6&lt;209,ABS(IFERROR(VALUE(LEFT(M6,FIND("-",M6)-1)),M6))*100&lt;20900)),"Проверьте цену товара. Большинство товаров в выбранной категории стоят дороже 209",""))))),"")</f>
      </c>
    </row>
    <row r="7">
      <c r="A7" s="2" t="inlineStr">
        <is>
          <t>Крымский Хан</t>
        </is>
      </c>
      <c r="B7" s="2" t="inlineStr">
        <is>
          <t>Браслеты</t>
        </is>
      </c>
      <c r="C7" s="2">
        <v>266789961</v>
      </c>
      <c r="D7" s="2" t="inlineStr">
        <is>
          <t>9</t>
        </is>
      </c>
      <c r="E7" s="2" t="inlineStr">
        <is>
          <t>2041360527248</t>
        </is>
      </c>
      <c r="F7" s="2">
        <v>7</v>
      </c>
      <c r="G7" s="2">
        <v>0</v>
      </c>
      <c r="H7" s="2">
        <v>999</v>
      </c>
      <c r="I7" s="2" t="inlineStr">
        <is>
          <t>3530</t>
        </is>
      </c>
      <c r="J7" s="4"/>
      <c r="K7" s="2">
        <v>51</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20000000",IF(NOT(ABS(IFERROR(VALUE(LEFT(M7,FIND("-",M7)-1)),M7)*100-(2500+2000000000)/2)&lt;=ABS(2500-2000000000)/2),"Цена со скидкой должна быть от 25 до 20000000",IF(IFERROR(VALUE(LEFT(M7,FIND("-",M7)-1)),M7)*220&lt;172970,"Вы уменьшили цену в несколько раз, товар попадет в карантин цен",IF(AND(IFERROR(VALUE(I7),0)=0,ISNUMBER(J7),OR(J7&lt;206,ABS(IFERROR(VALUE(LEFT(M7,FIND("-",M7)-1)),M7))*100&lt;20600)),"Проверьте цену товара. Большинство товаров в выбранной категории стоят дороже 206",""))))),"")</f>
      </c>
    </row>
    <row r="8">
      <c r="A8" s="2" t="inlineStr">
        <is>
          <t/>
        </is>
      </c>
      <c r="B8" s="2" t="inlineStr">
        <is>
          <t>Ключницы</t>
        </is>
      </c>
      <c r="C8" s="2">
        <v>983542837</v>
      </c>
      <c r="D8" s="2" t="inlineStr">
        <is>
          <t>ключница</t>
        </is>
      </c>
      <c r="E8" s="2" t="inlineStr">
        <is>
          <t>2050706067171</t>
        </is>
      </c>
      <c r="F8" s="2">
        <v>10</v>
      </c>
      <c r="G8" s="2">
        <v>0</v>
      </c>
      <c r="H8" s="2">
        <v>999</v>
      </c>
      <c r="I8" s="2" t="inlineStr">
        <is>
          <t>2000</t>
        </is>
      </c>
      <c r="J8" s="4"/>
      <c r="K8" s="2">
        <v>0</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20000000",IF(NOT(ABS(IFERROR(VALUE(LEFT(M8,FIND("-",M8)-1)),M8)*100-(2500+2000000000)/2)&lt;=ABS(2500-2000000000)/2),"Цена со скидкой должна быть от 25 до 20000000",IF(IFERROR(VALUE(LEFT(M8,FIND("-",M8)-1)),M8)*229&lt;200000,"Вы уменьшили цену в несколько раз, товар попадет в карантин цен",IF(AND(IFERROR(VALUE(I8),0)=0,ISNUMBER(J8),OR(J8&lt;209,ABS(IFERROR(VALUE(LEFT(M8,FIND("-",M8)-1)),M8))*100&lt;20900)),"Проверьте цену товара. Большинство товаров в выбранной категории стоят дороже 209",""))))),"")</f>
      </c>
    </row>
    <row r="9">
      <c r="A9" s="2" t="inlineStr">
        <is>
          <t>Крымский Хан</t>
        </is>
      </c>
      <c r="B9" s="2" t="inlineStr">
        <is>
          <t>Подвески бижутерные</t>
        </is>
      </c>
      <c r="C9" s="2">
        <v>316655376</v>
      </c>
      <c r="D9" s="2" t="inlineStr">
        <is>
          <t>wb414lz1e5h</t>
        </is>
      </c>
      <c r="E9" s="2" t="inlineStr">
        <is>
          <t>2042575460894</t>
        </is>
      </c>
      <c r="F9" s="2">
        <v>5</v>
      </c>
      <c r="G9" s="2">
        <v>3</v>
      </c>
      <c r="H9" s="2">
        <v>999</v>
      </c>
      <c r="I9" s="2" t="inlineStr">
        <is>
          <t>1295</t>
        </is>
      </c>
      <c r="J9" s="4"/>
      <c r="K9" s="2">
        <v>28</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20000000",IF(NOT(ABS(IFERROR(VALUE(LEFT(M9,FIND("-",M9)-1)),M9)*100-(2500+2000000000)/2)&lt;=ABS(2500-2000000000)/2),"Цена со скидкой должна быть от 25 до 20000000",IF(IFERROR(VALUE(LEFT(M9,FIND("-",M9)-1)),M9)*220&lt;93240,"Вы уменьшили цену в несколько раз, товар попадет в карантин цен",IF(AND(IFERROR(VALUE(I9),0)=0,ISNUMBER(J9),OR(J9&lt;214,ABS(IFERROR(VALUE(LEFT(M9,FIND("-",M9)-1)),M9))*100&lt;21400)),"Проверьте цену товара. Большинство товаров в выбранной категории стоят дороже 214",""))))),"")</f>
      </c>
    </row>
    <row r="10">
      <c r="A10" s="2" t="inlineStr">
        <is>
          <t>Крымский Хан</t>
        </is>
      </c>
      <c r="B10" s="2" t="inlineStr">
        <is>
          <t>Браслеты</t>
        </is>
      </c>
      <c r="C10" s="2">
        <v>266789967</v>
      </c>
      <c r="D10" s="2" t="inlineStr">
        <is>
          <t>15</t>
        </is>
      </c>
      <c r="E10" s="2" t="inlineStr">
        <is>
          <t>2041360527309</t>
        </is>
      </c>
      <c r="F10" s="2">
        <v>5</v>
      </c>
      <c r="G10" s="2">
        <v>0</v>
      </c>
      <c r="H10" s="2">
        <v>999</v>
      </c>
      <c r="I10" s="2" t="inlineStr">
        <is>
          <t>3530</t>
        </is>
      </c>
      <c r="J10" s="4"/>
      <c r="K10" s="2">
        <v>31</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20000000",IF(NOT(ABS(IFERROR(VALUE(LEFT(M10,FIND("-",M10)-1)),M10)*100-(2500+2000000000)/2)&lt;=ABS(2500-2000000000)/2),"Цена со скидкой должна быть от 25 до 20000000",IF(IFERROR(VALUE(LEFT(M10,FIND("-",M10)-1)),M10)*220&lt;243569,"Вы уменьшили цену в несколько раз, товар попадет в карантин цен",IF(AND(IFERROR(VALUE(I10),0)=0,ISNUMBER(J10),OR(J10&lt;206,ABS(IFERROR(VALUE(LEFT(M10,FIND("-",M10)-1)),M10))*100&lt;20600)),"Проверьте цену товара. Большинство товаров в выбранной категории стоят дороже 206",""))))),"")</f>
      </c>
    </row>
    <row r="11">
      <c r="A11" s="2" t="inlineStr">
        <is>
          <t>Крымский Хан</t>
        </is>
      </c>
      <c r="B11" s="2" t="inlineStr">
        <is>
          <t>Серьги</t>
        </is>
      </c>
      <c r="C11" s="2">
        <v>316654400</v>
      </c>
      <c r="D11" s="2" t="inlineStr">
        <is>
          <t>97</t>
        </is>
      </c>
      <c r="E11" s="2" t="inlineStr">
        <is>
          <t>2042574981581</t>
        </is>
      </c>
      <c r="F11" s="2">
        <v>13</v>
      </c>
      <c r="G11" s="2">
        <v>0</v>
      </c>
      <c r="H11" s="2">
        <v>212</v>
      </c>
      <c r="I11" s="2" t="inlineStr">
        <is>
          <t>2942</t>
        </is>
      </c>
      <c r="J11" s="4"/>
      <c r="K11" s="2">
        <v>42</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20000000",IF(NOT(ABS(IFERROR(VALUE(LEFT(M11,FIND("-",M11)-1)),M11)*100-(2500+2000000000)/2)&lt;=ABS(2500-2000000000)/2),"Цена со скидкой должна быть от 25 до 20000000",IF(IFERROR(VALUE(LEFT(M11,FIND("-",M11)-1)),M11)*220&lt;170636,"Вы уменьшили цену в несколько раз, товар попадет в карантин цен",IF(AND(IFERROR(VALUE(I11),0)=0,ISNUMBER(J11),OR(J11&lt;211,ABS(IFERROR(VALUE(LEFT(M11,FIND("-",M11)-1)),M11))*100&lt;21100)),"Проверьте цену товара. Большинство товаров в выбранной категории стоят дороже 211",""))))),"")</f>
      </c>
    </row>
    <row r="12">
      <c r="A12" s="2" t="inlineStr">
        <is>
          <t/>
        </is>
      </c>
      <c r="B12" s="2" t="inlineStr">
        <is>
          <t>Подвески бижутерные</t>
        </is>
      </c>
      <c r="C12" s="2">
        <v>316655363</v>
      </c>
      <c r="D12" s="2" t="inlineStr">
        <is>
          <t>wb414lz1e55</t>
        </is>
      </c>
      <c r="E12" s="2" t="inlineStr">
        <is>
          <t>2042575460771</t>
        </is>
      </c>
      <c r="F12" s="2">
        <v>10</v>
      </c>
      <c r="G12" s="2">
        <v>0</v>
      </c>
      <c r="H12" s="2">
        <v>999</v>
      </c>
      <c r="I12" s="2" t="inlineStr">
        <is>
          <t>1295</t>
        </is>
      </c>
      <c r="J12" s="4"/>
      <c r="K12" s="2">
        <v>32</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20000000",IF(NOT(ABS(IFERROR(VALUE(LEFT(M12,FIND("-",M12)-1)),M12)*100-(2500+2000000000)/2)&lt;=ABS(2500-2000000000)/2),"Цена со скидкой должна быть от 25 до 20000000",IF(IFERROR(VALUE(LEFT(M12,FIND("-",M12)-1)),M12)*220&lt;88059,"Вы уменьшили цену в несколько раз, товар попадет в карантин цен",IF(AND(IFERROR(VALUE(I12),0)=0,ISNUMBER(J12),OR(J12&lt;214,ABS(IFERROR(VALUE(LEFT(M12,FIND("-",M12)-1)),M12))*100&lt;21400)),"Проверьте цену товара. Большинство товаров в выбранной категории стоят дороже 214",""))))),"")</f>
      </c>
    </row>
    <row r="13">
      <c r="A13" s="2" t="inlineStr">
        <is>
          <t>Крымский Хан</t>
        </is>
      </c>
      <c r="B13" s="2" t="inlineStr">
        <is>
          <t>Серьги</t>
        </is>
      </c>
      <c r="C13" s="2">
        <v>316654383</v>
      </c>
      <c r="D13" s="2" t="inlineStr">
        <is>
          <t>81</t>
        </is>
      </c>
      <c r="E13" s="2" t="inlineStr">
        <is>
          <t>2042574981420</t>
        </is>
      </c>
      <c r="F13" s="2">
        <v>2</v>
      </c>
      <c r="G13" s="2">
        <v>0</v>
      </c>
      <c r="H13" s="2">
        <v>92</v>
      </c>
      <c r="I13" s="2" t="inlineStr">
        <is>
          <t>2942</t>
        </is>
      </c>
      <c r="J13" s="4"/>
      <c r="K13" s="2">
        <v>49</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20000000",IF(NOT(ABS(IFERROR(VALUE(LEFT(M13,FIND("-",M13)-1)),M13)*100-(2500+2000000000)/2)&lt;=ABS(2500-2000000000)/2),"Цена со скидкой должна быть от 25 до 20000000",IF(IFERROR(VALUE(LEFT(M13,FIND("-",M13)-1)),M13)*220&lt;150042,"Вы уменьшили цену в несколько раз, товар попадет в карантин цен",IF(AND(IFERROR(VALUE(I13),0)=0,ISNUMBER(J13),OR(J13&lt;211,ABS(IFERROR(VALUE(LEFT(M13,FIND("-",M13)-1)),M13))*100&lt;21100)),"Проверьте цену товара. Большинство товаров в выбранной категории стоят дороже 211",""))))),"")</f>
      </c>
    </row>
    <row r="14">
      <c r="A14" s="2" t="inlineStr">
        <is>
          <t>Крымский Хан</t>
        </is>
      </c>
      <c r="B14" s="2" t="inlineStr">
        <is>
          <t>Подвески бижутерные</t>
        </is>
      </c>
      <c r="C14" s="2">
        <v>316655372</v>
      </c>
      <c r="D14" s="2" t="inlineStr">
        <is>
          <t>66</t>
        </is>
      </c>
      <c r="E14" s="2" t="inlineStr">
        <is>
          <t>2042575460856</t>
        </is>
      </c>
      <c r="F14" s="2">
        <v>6</v>
      </c>
      <c r="G14" s="2">
        <v>0</v>
      </c>
      <c r="H14" s="2">
        <v>999</v>
      </c>
      <c r="I14" s="2" t="inlineStr">
        <is>
          <t>1295</t>
        </is>
      </c>
      <c r="J14" s="4"/>
      <c r="K14" s="2">
        <v>34</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20000000",IF(NOT(ABS(IFERROR(VALUE(LEFT(M14,FIND("-",M14)-1)),M14)*100-(2500+2000000000)/2)&lt;=ABS(2500-2000000000)/2),"Цена со скидкой должна быть от 25 до 20000000",IF(IFERROR(VALUE(LEFT(M14,FIND("-",M14)-1)),M14)*220&lt;85470,"Вы уменьшили цену в несколько раз, товар попадет в карантин цен",IF(AND(IFERROR(VALUE(I14),0)=0,ISNUMBER(J14),OR(J14&lt;214,ABS(IFERROR(VALUE(LEFT(M14,FIND("-",M14)-1)),M14))*100&lt;21400)),"Проверьте цену товара. Большинство товаров в выбранной категории стоят дороже 214",""))))),"")</f>
      </c>
    </row>
    <row r="15">
      <c r="A15" s="2" t="inlineStr">
        <is>
          <t>Крымский Хан</t>
        </is>
      </c>
      <c r="B15" s="2" t="inlineStr">
        <is>
          <t>Подвески бижутерные</t>
        </is>
      </c>
      <c r="C15" s="2">
        <v>316655373</v>
      </c>
      <c r="D15" s="2" t="inlineStr">
        <is>
          <t>67</t>
        </is>
      </c>
      <c r="E15" s="2" t="inlineStr">
        <is>
          <t>2042575460863</t>
        </is>
      </c>
      <c r="F15" s="2">
        <v>3</v>
      </c>
      <c r="G15" s="2">
        <v>0</v>
      </c>
      <c r="H15" s="2">
        <v>999</v>
      </c>
      <c r="I15" s="2" t="inlineStr">
        <is>
          <t>1295</t>
        </is>
      </c>
      <c r="J15" s="4"/>
      <c r="K15" s="2">
        <v>34</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20000000",IF(NOT(ABS(IFERROR(VALUE(LEFT(M15,FIND("-",M15)-1)),M15)*100-(2500+2000000000)/2)&lt;=ABS(2500-2000000000)/2),"Цена со скидкой должна быть от 25 до 20000000",IF(IFERROR(VALUE(LEFT(M15,FIND("-",M15)-1)),M15)*220&lt;85470,"Вы уменьшили цену в несколько раз, товар попадет в карантин цен",IF(AND(IFERROR(VALUE(I15),0)=0,ISNUMBER(J15),OR(J15&lt;214,ABS(IFERROR(VALUE(LEFT(M15,FIND("-",M15)-1)),M15))*100&lt;21400)),"Проверьте цену товара. Большинство товаров в выбранной категории стоят дороже 214",""))))),"")</f>
      </c>
    </row>
    <row r="16">
      <c r="A16" s="2" t="inlineStr">
        <is>
          <t>Крымский Хан</t>
        </is>
      </c>
      <c r="B16" s="2" t="inlineStr">
        <is>
          <t>Серьги</t>
        </is>
      </c>
      <c r="C16" s="2">
        <v>268147407</v>
      </c>
      <c r="D16" s="2" t="inlineStr">
        <is>
          <t>серьги 45</t>
        </is>
      </c>
      <c r="E16" s="2" t="inlineStr">
        <is>
          <t>2041388840091</t>
        </is>
      </c>
      <c r="F16" s="2">
        <v>13</v>
      </c>
      <c r="G16" s="2">
        <v>0</v>
      </c>
      <c r="H16" s="2">
        <v>431</v>
      </c>
      <c r="I16" s="2" t="inlineStr">
        <is>
          <t>3177</t>
        </is>
      </c>
      <c r="J16" s="4"/>
      <c r="K16" s="2">
        <v>36</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20000000",IF(NOT(ABS(IFERROR(VALUE(LEFT(M16,FIND("-",M16)-1)),M16)*100-(2500+2000000000)/2)&lt;=ABS(2500-2000000000)/2),"Цена со скидкой должна быть от 25 до 20000000",IF(IFERROR(VALUE(LEFT(M16,FIND("-",M16)-1)),M16)*220&lt;203328,"Вы уменьшили цену в несколько раз, товар попадет в карантин цен",IF(AND(IFERROR(VALUE(I16),0)=0,ISNUMBER(J16),OR(J16&lt;211,ABS(IFERROR(VALUE(LEFT(M16,FIND("-",M16)-1)),M16))*100&lt;21100)),"Проверьте цену товара. Большинство товаров в выбранной категории стоят дороже 211",""))))),"")</f>
      </c>
    </row>
    <row r="17">
      <c r="A17" s="2" t="inlineStr">
        <is>
          <t/>
        </is>
      </c>
      <c r="B17" s="2" t="inlineStr">
        <is>
          <t>Подвески бижутерные</t>
        </is>
      </c>
      <c r="C17" s="2">
        <v>316655377</v>
      </c>
      <c r="D17" s="2" t="inlineStr">
        <is>
          <t>wb414lz1e5i</t>
        </is>
      </c>
      <c r="E17" s="2" t="inlineStr">
        <is>
          <t>2042575460900</t>
        </is>
      </c>
      <c r="F17" s="2" t="inlineStr">
        <is>
          <t/>
        </is>
      </c>
      <c r="G17" s="2" t="inlineStr">
        <is>
          <t/>
        </is>
      </c>
      <c r="H17" s="2" t="inlineStr">
        <is>
          <t/>
        </is>
      </c>
      <c r="I17" s="2" t="inlineStr">
        <is>
          <t>1295</t>
        </is>
      </c>
      <c r="J17" s="4"/>
      <c r="K17" s="2">
        <v>15</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20000000",IF(NOT(ABS(IFERROR(VALUE(LEFT(M17,FIND("-",M17)-1)),M17)*100-(2500+2000000000)/2)&lt;=ABS(2500-2000000000)/2),"Цена со скидкой должна быть от 25 до 20000000",IF(IFERROR(VALUE(LEFT(M17,FIND("-",M17)-1)),M17)*220&lt;110075,"Вы уменьшили цену в несколько раз, товар попадет в карантин цен",IF(AND(IFERROR(VALUE(I17),0)=0,ISNUMBER(J17),OR(J17&lt;214,ABS(IFERROR(VALUE(LEFT(M17,FIND("-",M17)-1)),M17))*100&lt;21400)),"Проверьте цену товара. Большинство товаров в выбранной категории стоят дороже 214",""))))),"")</f>
      </c>
    </row>
    <row r="18">
      <c r="A18" s="2" t="inlineStr">
        <is>
          <t>Крымский Хан</t>
        </is>
      </c>
      <c r="B18" s="2" t="inlineStr">
        <is>
          <t>Браслеты</t>
        </is>
      </c>
      <c r="C18" s="2">
        <v>266789963</v>
      </c>
      <c r="D18" s="2" t="inlineStr">
        <is>
          <t>11</t>
        </is>
      </c>
      <c r="E18" s="2" t="inlineStr">
        <is>
          <t>2041360527262</t>
        </is>
      </c>
      <c r="F18" s="2">
        <v>8</v>
      </c>
      <c r="G18" s="2">
        <v>1</v>
      </c>
      <c r="H18" s="2">
        <v>78</v>
      </c>
      <c r="I18" s="2" t="inlineStr">
        <is>
          <t>3530</t>
        </is>
      </c>
      <c r="J18" s="4"/>
      <c r="K18" s="2">
        <v>44</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20000000",IF(NOT(ABS(IFERROR(VALUE(LEFT(M18,FIND("-",M18)-1)),M18)*100-(2500+2000000000)/2)&lt;=ABS(2500-2000000000)/2),"Цена со скидкой должна быть от 25 до 20000000",IF(IFERROR(VALUE(LEFT(M18,FIND("-",M18)-1)),M18)*220&lt;197680,"Вы уменьшили цену в несколько раз, товар попадет в карантин цен",IF(AND(IFERROR(VALUE(I18),0)=0,ISNUMBER(J18),OR(J18&lt;206,ABS(IFERROR(VALUE(LEFT(M18,FIND("-",M18)-1)),M18))*100&lt;20600)),"Проверьте цену товара. Большинство товаров в выбранной категории стоят дороже 206",""))))),"")</f>
      </c>
    </row>
    <row r="19">
      <c r="A19" s="2" t="inlineStr">
        <is>
          <t/>
        </is>
      </c>
      <c r="B19" s="2" t="inlineStr">
        <is>
          <t>Кольца</t>
        </is>
      </c>
      <c r="C19" s="2">
        <v>734605454</v>
      </c>
      <c r="D19" s="2" t="inlineStr">
        <is>
          <t>134</t>
        </is>
      </c>
      <c r="E19" s="2" t="inlineStr">
        <is>
          <t>2048129756208</t>
        </is>
      </c>
      <c r="F19" s="2" t="inlineStr">
        <is>
          <t/>
        </is>
      </c>
      <c r="G19" s="2" t="inlineStr">
        <is>
          <t/>
        </is>
      </c>
      <c r="H19" s="2" t="inlineStr">
        <is>
          <t/>
        </is>
      </c>
      <c r="I19" s="2" t="inlineStr">
        <is>
          <t>0</t>
        </is>
      </c>
      <c r="J19" s="4"/>
      <c r="K19" s="2">
        <v>0</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20000000",IF(NOT(ABS(IFERROR(VALUE(LEFT(M19,FIND("-",M19)-1)),M19)*100-(2500+2000000000)/2)&lt;=ABS(2500-2000000000)/2),"Цена со скидкой должна быть от 25 до 20000000",IF(IFERROR(VALUE(LEFT(M19,FIND("-",M19)-1)),M19)*220&lt;0,"Вы уменьшили цену в несколько раз, товар попадет в карантин цен",IF(AND(IFERROR(VALUE(I19),0)=0,ISNUMBER(J19),OR(J19&lt;248,ABS(IFERROR(VALUE(LEFT(M19,FIND("-",M19)-1)),M19))*100&lt;24800)),"Проверьте цену товара. Большинство товаров в выбранной категории стоят дороже 248",""))))),"")</f>
      </c>
    </row>
    <row r="20">
      <c r="A20" s="2" t="inlineStr">
        <is>
          <t>Крымский Хан</t>
        </is>
      </c>
      <c r="B20" s="2" t="inlineStr">
        <is>
          <t>Браслеты</t>
        </is>
      </c>
      <c r="C20" s="2">
        <v>266789960</v>
      </c>
      <c r="D20" s="2" t="inlineStr">
        <is>
          <t>8</t>
        </is>
      </c>
      <c r="E20" s="2" t="inlineStr">
        <is>
          <t>2041360527231</t>
        </is>
      </c>
      <c r="F20" s="2">
        <v>11</v>
      </c>
      <c r="G20" s="2">
        <v>5</v>
      </c>
      <c r="H20" s="2">
        <v>999</v>
      </c>
      <c r="I20" s="2" t="inlineStr">
        <is>
          <t>3530</t>
        </is>
      </c>
      <c r="J20" s="4"/>
      <c r="K20" s="2">
        <v>46</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20000000",IF(NOT(ABS(IFERROR(VALUE(LEFT(M20,FIND("-",M20)-1)),M20)*100-(2500+2000000000)/2)&lt;=ABS(2500-2000000000)/2),"Цена со скидкой должна быть от 25 до 20000000",IF(IFERROR(VALUE(LEFT(M20,FIND("-",M20)-1)),M20)*220&lt;190620,"Вы уменьшили цену в несколько раз, товар попадет в карантин цен",IF(AND(IFERROR(VALUE(I20),0)=0,ISNUMBER(J20),OR(J20&lt;206,ABS(IFERROR(VALUE(LEFT(M20,FIND("-",M20)-1)),M20))*100&lt;20600)),"Проверьте цену товара. Большинство товаров в выбранной категории стоят дороже 206",""))))),"")</f>
      </c>
    </row>
    <row r="21">
      <c r="A21" s="2" t="inlineStr">
        <is>
          <t>Крымский Хан</t>
        </is>
      </c>
      <c r="B21" s="2" t="inlineStr">
        <is>
          <t>Браслеты</t>
        </is>
      </c>
      <c r="C21" s="2">
        <v>328804916</v>
      </c>
      <c r="D21" s="2" t="inlineStr">
        <is>
          <t>73</t>
        </is>
      </c>
      <c r="E21" s="2" t="inlineStr">
        <is>
          <t>2042793689817</t>
        </is>
      </c>
      <c r="F21" s="2">
        <v>2</v>
      </c>
      <c r="G21" s="2">
        <v>0</v>
      </c>
      <c r="H21" s="2">
        <v>999</v>
      </c>
      <c r="I21" s="2" t="inlineStr">
        <is>
          <t>3530</t>
        </is>
      </c>
      <c r="J21" s="4"/>
      <c r="K21" s="2">
        <v>32</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20000000",IF(NOT(ABS(IFERROR(VALUE(LEFT(M21,FIND("-",M21)-1)),M21)*100-(2500+2000000000)/2)&lt;=ABS(2500-2000000000)/2),"Цена со скидкой должна быть от 25 до 20000000",IF(IFERROR(VALUE(LEFT(M21,FIND("-",M21)-1)),M21)*220&lt;240039,"Вы уменьшили цену в несколько раз, товар попадет в карантин цен",IF(AND(IFERROR(VALUE(I21),0)=0,ISNUMBER(J21),OR(J21&lt;206,ABS(IFERROR(VALUE(LEFT(M21,FIND("-",M21)-1)),M21))*100&lt;20600)),"Проверьте цену товара. Большинство товаров в выбранной категории стоят дороже 206",""))))),"")</f>
      </c>
    </row>
    <row r="22">
      <c r="A22" s="2" t="inlineStr">
        <is>
          <t>Крымский Хан</t>
        </is>
      </c>
      <c r="B22" s="2" t="inlineStr">
        <is>
          <t>Браслеты</t>
        </is>
      </c>
      <c r="C22" s="2">
        <v>266789958</v>
      </c>
      <c r="D22" s="2" t="inlineStr">
        <is>
          <t>6</t>
        </is>
      </c>
      <c r="E22" s="2" t="inlineStr">
        <is>
          <t>2041360527217</t>
        </is>
      </c>
      <c r="F22" s="2">
        <v>5</v>
      </c>
      <c r="G22" s="2">
        <v>0</v>
      </c>
      <c r="H22" s="2">
        <v>999</v>
      </c>
      <c r="I22" s="2" t="inlineStr">
        <is>
          <t>3530</t>
        </is>
      </c>
      <c r="J22" s="4"/>
      <c r="K22" s="2">
        <v>45</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20000000",IF(NOT(ABS(IFERROR(VALUE(LEFT(M22,FIND("-",M22)-1)),M22)*100-(2500+2000000000)/2)&lt;=ABS(2500-2000000000)/2),"Цена со скидкой должна быть от 25 до 20000000",IF(IFERROR(VALUE(LEFT(M22,FIND("-",M22)-1)),M22)*220&lt;194150,"Вы уменьшили цену в несколько раз, товар попадет в карантин цен",IF(AND(IFERROR(VALUE(I22),0)=0,ISNUMBER(J22),OR(J22&lt;206,ABS(IFERROR(VALUE(LEFT(M22,FIND("-",M22)-1)),M22))*100&lt;20600)),"Проверьте цену товара. Большинство товаров в выбранной категории стоят дороже 206",""))))),"")</f>
      </c>
    </row>
    <row r="23">
      <c r="A23" s="2" t="inlineStr">
        <is>
          <t>Крымский Хан</t>
        </is>
      </c>
      <c r="B23" s="2" t="inlineStr">
        <is>
          <t>Браслеты</t>
        </is>
      </c>
      <c r="C23" s="2">
        <v>328804915</v>
      </c>
      <c r="D23" s="2" t="inlineStr">
        <is>
          <t>74</t>
        </is>
      </c>
      <c r="E23" s="2" t="inlineStr">
        <is>
          <t>2042793689800</t>
        </is>
      </c>
      <c r="F23" s="2">
        <v>0</v>
      </c>
      <c r="G23" s="2">
        <v>10</v>
      </c>
      <c r="H23" s="2">
        <v>9</v>
      </c>
      <c r="I23" s="2" t="inlineStr">
        <is>
          <t>3530</t>
        </is>
      </c>
      <c r="J23" s="4"/>
      <c r="K23" s="2">
        <v>31</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20000000",IF(NOT(ABS(IFERROR(VALUE(LEFT(M23,FIND("-",M23)-1)),M23)*100-(2500+2000000000)/2)&lt;=ABS(2500-2000000000)/2),"Цена со скидкой должна быть от 25 до 20000000",IF(IFERROR(VALUE(LEFT(M23,FIND("-",M23)-1)),M23)*220&lt;243569,"Вы уменьшили цену в несколько раз, товар попадет в карантин цен",IF(AND(IFERROR(VALUE(I23),0)=0,ISNUMBER(J23),OR(J23&lt;206,ABS(IFERROR(VALUE(LEFT(M23,FIND("-",M23)-1)),M23))*100&lt;20600)),"Проверьте цену товара. Большинство товаров в выбранной категории стоят дороже 206",""))))),"")</f>
      </c>
    </row>
    <row r="24">
      <c r="A24" s="2" t="inlineStr">
        <is>
          <t/>
        </is>
      </c>
      <c r="B24" s="2" t="inlineStr">
        <is>
          <t>Браслеты</t>
        </is>
      </c>
      <c r="C24" s="2">
        <v>734566656</v>
      </c>
      <c r="D24" s="2" t="inlineStr">
        <is>
          <t>114</t>
        </is>
      </c>
      <c r="E24" s="2" t="inlineStr">
        <is>
          <t>2048129293246</t>
        </is>
      </c>
      <c r="F24" s="2">
        <v>4</v>
      </c>
      <c r="G24" s="2">
        <v>0</v>
      </c>
      <c r="H24" s="2">
        <v>999</v>
      </c>
      <c r="I24" s="2" t="inlineStr">
        <is>
          <t>3530</t>
        </is>
      </c>
      <c r="J24" s="4"/>
      <c r="K24" s="2">
        <v>31</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20000000",IF(NOT(ABS(IFERROR(VALUE(LEFT(M24,FIND("-",M24)-1)),M24)*100-(2500+2000000000)/2)&lt;=ABS(2500-2000000000)/2),"Цена со скидкой должна быть от 25 до 20000000",IF(IFERROR(VALUE(LEFT(M24,FIND("-",M24)-1)),M24)*220&lt;243569,"Вы уменьшили цену в несколько раз, товар попадет в карантин цен",IF(AND(IFERROR(VALUE(I24),0)=0,ISNUMBER(J24),OR(J24&lt;206,ABS(IFERROR(VALUE(LEFT(M24,FIND("-",M24)-1)),M24))*100&lt;20600)),"Проверьте цену товара. Большинство товаров в выбранной категории стоят дороже 206",""))))),"")</f>
      </c>
    </row>
    <row r="25">
      <c r="A25" s="2" t="inlineStr">
        <is>
          <t/>
        </is>
      </c>
      <c r="B25" s="2" t="inlineStr">
        <is>
          <t>Браслеты</t>
        </is>
      </c>
      <c r="C25" s="2">
        <v>734566655</v>
      </c>
      <c r="D25" s="2" t="inlineStr">
        <is>
          <t>113</t>
        </is>
      </c>
      <c r="E25" s="2" t="inlineStr">
        <is>
          <t>2048129293239</t>
        </is>
      </c>
      <c r="F25" s="2" t="inlineStr">
        <is>
          <t/>
        </is>
      </c>
      <c r="G25" s="2" t="inlineStr">
        <is>
          <t/>
        </is>
      </c>
      <c r="H25" s="2" t="inlineStr">
        <is>
          <t/>
        </is>
      </c>
      <c r="I25" s="2" t="inlineStr">
        <is>
          <t>3530</t>
        </is>
      </c>
      <c r="J25" s="4"/>
      <c r="K25" s="2">
        <v>25</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20000000",IF(NOT(ABS(IFERROR(VALUE(LEFT(M25,FIND("-",M25)-1)),M25)*100-(2500+2000000000)/2)&lt;=ABS(2500-2000000000)/2),"Цена со скидкой должна быть от 25 до 20000000",IF(IFERROR(VALUE(LEFT(M25,FIND("-",M25)-1)),M25)*220&lt;264750,"Вы уменьшили цену в несколько раз, товар попадет в карантин цен",IF(AND(IFERROR(VALUE(I25),0)=0,ISNUMBER(J25),OR(J25&lt;206,ABS(IFERROR(VALUE(LEFT(M25,FIND("-",M25)-1)),M25))*100&lt;20600)),"Проверьте цену товара. Большинство товаров в выбранной категории стоят дороже 206",""))))),"")</f>
      </c>
    </row>
    <row r="26">
      <c r="A26" s="2" t="inlineStr">
        <is>
          <t/>
        </is>
      </c>
      <c r="B26" s="2" t="inlineStr">
        <is>
          <t>Кольца</t>
        </is>
      </c>
      <c r="C26" s="2">
        <v>734605438</v>
      </c>
      <c r="D26" s="2" t="inlineStr">
        <is>
          <t>118</t>
        </is>
      </c>
      <c r="E26" s="2" t="inlineStr">
        <is>
          <t>2048129755768</t>
        </is>
      </c>
      <c r="F26" s="2" t="inlineStr">
        <is>
          <t/>
        </is>
      </c>
      <c r="G26" s="2" t="inlineStr">
        <is>
          <t/>
        </is>
      </c>
      <c r="H26" s="2" t="inlineStr">
        <is>
          <t/>
        </is>
      </c>
      <c r="I26" s="2" t="inlineStr">
        <is>
          <t>0</t>
        </is>
      </c>
      <c r="J26" s="4"/>
      <c r="K26" s="2">
        <v>0</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20000000",IF(NOT(ABS(IFERROR(VALUE(LEFT(M26,FIND("-",M26)-1)),M26)*100-(2500+2000000000)/2)&lt;=ABS(2500-2000000000)/2),"Цена со скидкой должна быть от 25 до 20000000",IF(IFERROR(VALUE(LEFT(M26,FIND("-",M26)-1)),M26)*220&lt;0,"Вы уменьшили цену в несколько раз, товар попадет в карантин цен",IF(AND(IFERROR(VALUE(I26),0)=0,ISNUMBER(J26),OR(J26&lt;248,ABS(IFERROR(VALUE(LEFT(M26,FIND("-",M26)-1)),M26))*100&lt;24800)),"Проверьте цену товара. Большинство товаров в выбранной категории стоят дороже 248",""))))),"")</f>
      </c>
    </row>
    <row r="27">
      <c r="A27" s="2" t="inlineStr">
        <is>
          <t/>
        </is>
      </c>
      <c r="B27" s="2" t="inlineStr">
        <is>
          <t>Кольца</t>
        </is>
      </c>
      <c r="C27" s="2">
        <v>734605443</v>
      </c>
      <c r="D27" s="2" t="inlineStr">
        <is>
          <t>123</t>
        </is>
      </c>
      <c r="E27" s="2" t="inlineStr">
        <is>
          <t>2048129755911</t>
        </is>
      </c>
      <c r="F27" s="2" t="inlineStr">
        <is>
          <t/>
        </is>
      </c>
      <c r="G27" s="2" t="inlineStr">
        <is>
          <t/>
        </is>
      </c>
      <c r="H27" s="2" t="inlineStr">
        <is>
          <t/>
        </is>
      </c>
      <c r="I27" s="2" t="inlineStr">
        <is>
          <t>0</t>
        </is>
      </c>
      <c r="J27" s="4"/>
      <c r="K27" s="2">
        <v>0</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20000000",IF(NOT(ABS(IFERROR(VALUE(LEFT(M27,FIND("-",M27)-1)),M27)*100-(2500+2000000000)/2)&lt;=ABS(2500-2000000000)/2),"Цена со скидкой должна быть от 25 до 20000000",IF(IFERROR(VALUE(LEFT(M27,FIND("-",M27)-1)),M27)*220&lt;0,"Вы уменьшили цену в несколько раз, товар попадет в карантин цен",IF(AND(IFERROR(VALUE(I27),0)=0,ISNUMBER(J27),OR(J27&lt;248,ABS(IFERROR(VALUE(LEFT(M27,FIND("-",M27)-1)),M27))*100&lt;24800)),"Проверьте цену товара. Большинство товаров в выбранной категории стоят дороже 248",""))))),"")</f>
      </c>
    </row>
    <row r="28">
      <c r="A28" s="2" t="inlineStr">
        <is>
          <t/>
        </is>
      </c>
      <c r="B28" s="2" t="inlineStr">
        <is>
          <t>Кольца</t>
        </is>
      </c>
      <c r="C28" s="2">
        <v>734605445</v>
      </c>
      <c r="D28" s="2" t="inlineStr">
        <is>
          <t>125</t>
        </is>
      </c>
      <c r="E28" s="2" t="inlineStr">
        <is>
          <t>2048129755973</t>
        </is>
      </c>
      <c r="F28" s="2" t="inlineStr">
        <is>
          <t/>
        </is>
      </c>
      <c r="G28" s="2" t="inlineStr">
        <is>
          <t/>
        </is>
      </c>
      <c r="H28" s="2" t="inlineStr">
        <is>
          <t/>
        </is>
      </c>
      <c r="I28" s="2" t="inlineStr">
        <is>
          <t>0</t>
        </is>
      </c>
      <c r="J28" s="4"/>
      <c r="K28" s="2">
        <v>0</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20000000",IF(NOT(ABS(IFERROR(VALUE(LEFT(M28,FIND("-",M28)-1)),M28)*100-(2500+2000000000)/2)&lt;=ABS(2500-2000000000)/2),"Цена со скидкой должна быть от 25 до 20000000",IF(IFERROR(VALUE(LEFT(M28,FIND("-",M28)-1)),M28)*220&lt;0,"Вы уменьшили цену в несколько раз, товар попадет в карантин цен",IF(AND(IFERROR(VALUE(I28),0)=0,ISNUMBER(J28),OR(J28&lt;248,ABS(IFERROR(VALUE(LEFT(M28,FIND("-",M28)-1)),M28))*100&lt;24800)),"Проверьте цену товара. Большинство товаров в выбранной категории стоят дороже 248",""))))),"")</f>
      </c>
    </row>
    <row r="29">
      <c r="A29" s="2" t="inlineStr">
        <is>
          <t/>
        </is>
      </c>
      <c r="B29" s="2" t="inlineStr">
        <is>
          <t>Кольца</t>
        </is>
      </c>
      <c r="C29" s="2">
        <v>734605446</v>
      </c>
      <c r="D29" s="2" t="inlineStr">
        <is>
          <t>126</t>
        </is>
      </c>
      <c r="E29" s="2" t="inlineStr">
        <is>
          <t>2048129756017</t>
        </is>
      </c>
      <c r="F29" s="2" t="inlineStr">
        <is>
          <t/>
        </is>
      </c>
      <c r="G29" s="2" t="inlineStr">
        <is>
          <t/>
        </is>
      </c>
      <c r="H29" s="2" t="inlineStr">
        <is>
          <t/>
        </is>
      </c>
      <c r="I29" s="2" t="inlineStr">
        <is>
          <t>0</t>
        </is>
      </c>
      <c r="J29" s="4"/>
      <c r="K29" s="2">
        <v>0</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20000000",IF(NOT(ABS(IFERROR(VALUE(LEFT(M29,FIND("-",M29)-1)),M29)*100-(2500+2000000000)/2)&lt;=ABS(2500-2000000000)/2),"Цена со скидкой должна быть от 25 до 20000000",IF(IFERROR(VALUE(LEFT(M29,FIND("-",M29)-1)),M29)*220&lt;0,"Вы уменьшили цену в несколько раз, товар попадет в карантин цен",IF(AND(IFERROR(VALUE(I29),0)=0,ISNUMBER(J29),OR(J29&lt;248,ABS(IFERROR(VALUE(LEFT(M29,FIND("-",M29)-1)),M29))*100&lt;24800)),"Проверьте цену товара. Большинство товаров в выбранной категории стоят дороже 248",""))))),"")</f>
      </c>
    </row>
    <row r="30">
      <c r="A30" s="2" t="inlineStr">
        <is>
          <t/>
        </is>
      </c>
      <c r="B30" s="2" t="inlineStr">
        <is>
          <t>Кольца</t>
        </is>
      </c>
      <c r="C30" s="2">
        <v>734605451</v>
      </c>
      <c r="D30" s="2" t="inlineStr">
        <is>
          <t>131</t>
        </is>
      </c>
      <c r="E30" s="2" t="inlineStr">
        <is>
          <t>2048129756116</t>
        </is>
      </c>
      <c r="F30" s="2" t="inlineStr">
        <is>
          <t/>
        </is>
      </c>
      <c r="G30" s="2" t="inlineStr">
        <is>
          <t/>
        </is>
      </c>
      <c r="H30" s="2" t="inlineStr">
        <is>
          <t/>
        </is>
      </c>
      <c r="I30" s="2" t="inlineStr">
        <is>
          <t>0</t>
        </is>
      </c>
      <c r="J30" s="4"/>
      <c r="K30" s="2">
        <v>0</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20000000",IF(NOT(ABS(IFERROR(VALUE(LEFT(M30,FIND("-",M30)-1)),M30)*100-(2500+2000000000)/2)&lt;=ABS(2500-2000000000)/2),"Цена со скидкой должна быть от 25 до 20000000",IF(IFERROR(VALUE(LEFT(M30,FIND("-",M30)-1)),M30)*220&lt;0,"Вы уменьшили цену в несколько раз, товар попадет в карантин цен",IF(AND(IFERROR(VALUE(I30),0)=0,ISNUMBER(J30),OR(J30&lt;248,ABS(IFERROR(VALUE(LEFT(M30,FIND("-",M30)-1)),M30))*100&lt;24800)),"Проверьте цену товара. Большинство товаров в выбранной категории стоят дороже 248",""))))),"")</f>
      </c>
    </row>
    <row r="31">
      <c r="A31" s="2" t="inlineStr">
        <is>
          <t>Крымский Хан</t>
        </is>
      </c>
      <c r="B31" s="2" t="inlineStr">
        <is>
          <t>Браслеты</t>
        </is>
      </c>
      <c r="C31" s="2">
        <v>266789959</v>
      </c>
      <c r="D31" s="2" t="inlineStr">
        <is>
          <t>7</t>
        </is>
      </c>
      <c r="E31" s="2" t="inlineStr">
        <is>
          <t>2041360647342</t>
        </is>
      </c>
      <c r="F31" s="2">
        <v>27</v>
      </c>
      <c r="G31" s="2">
        <v>0</v>
      </c>
      <c r="H31" s="2">
        <v>999</v>
      </c>
      <c r="I31" s="2" t="inlineStr">
        <is>
          <t>3530</t>
        </is>
      </c>
      <c r="J31" s="4"/>
      <c r="K31" s="2">
        <v>45</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20000000",IF(NOT(ABS(IFERROR(VALUE(LEFT(M31,FIND("-",M31)-1)),M31)*100-(2500+2000000000)/2)&lt;=ABS(2500-2000000000)/2),"Цена со скидкой должна быть от 25 до 20000000",IF(IFERROR(VALUE(LEFT(M31,FIND("-",M31)-1)),M31)*220&lt;194150,"Вы уменьшили цену в несколько раз, товар попадет в карантин цен",IF(AND(IFERROR(VALUE(I31),0)=0,ISNUMBER(J31),OR(J31&lt;206,ABS(IFERROR(VALUE(LEFT(M31,FIND("-",M31)-1)),M31))*100&lt;20600)),"Проверьте цену товара. Большинство товаров в выбранной категории стоят дороже 206",""))))),"")</f>
      </c>
    </row>
    <row r="32">
      <c r="A32" s="2" t="inlineStr">
        <is>
          <t/>
        </is>
      </c>
      <c r="B32" s="2" t="inlineStr">
        <is>
          <t>Кольца</t>
        </is>
      </c>
      <c r="C32" s="2">
        <v>734605631</v>
      </c>
      <c r="D32" s="2" t="inlineStr">
        <is>
          <t>147</t>
        </is>
      </c>
      <c r="E32" s="2" t="inlineStr">
        <is>
          <t>2048129757724</t>
        </is>
      </c>
      <c r="F32" s="2" t="inlineStr">
        <is>
          <t/>
        </is>
      </c>
      <c r="G32" s="2" t="inlineStr">
        <is>
          <t/>
        </is>
      </c>
      <c r="H32" s="2" t="inlineStr">
        <is>
          <t/>
        </is>
      </c>
      <c r="I32" s="2" t="inlineStr">
        <is>
          <t>0</t>
        </is>
      </c>
      <c r="J32" s="4"/>
      <c r="K32" s="2">
        <v>0</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20000000",IF(NOT(ABS(IFERROR(VALUE(LEFT(M32,FIND("-",M32)-1)),M32)*100-(2500+2000000000)/2)&lt;=ABS(2500-2000000000)/2),"Цена со скидкой должна быть от 25 до 20000000",IF(IFERROR(VALUE(LEFT(M32,FIND("-",M32)-1)),M32)*220&lt;0,"Вы уменьшили цену в несколько раз, товар попадет в карантин цен",IF(AND(IFERROR(VALUE(I32),0)=0,ISNUMBER(J32),OR(J32&lt;248,ABS(IFERROR(VALUE(LEFT(M32,FIND("-",M32)-1)),M32))*100&lt;24800)),"Проверьте цену товара. Большинство товаров в выбранной категории стоят дороже 248",""))))),"")</f>
      </c>
    </row>
    <row r="33">
      <c r="A33" s="2" t="inlineStr">
        <is>
          <t>Крымский Хан</t>
        </is>
      </c>
      <c r="B33" s="2" t="inlineStr">
        <is>
          <t>Браслеты</t>
        </is>
      </c>
      <c r="C33" s="2">
        <v>266789974</v>
      </c>
      <c r="D33" s="2" t="inlineStr">
        <is>
          <t>1</t>
        </is>
      </c>
      <c r="E33" s="2" t="inlineStr">
        <is>
          <t>2041360527163</t>
        </is>
      </c>
      <c r="F33" s="2">
        <v>22</v>
      </c>
      <c r="G33" s="2">
        <v>0</v>
      </c>
      <c r="H33" s="2">
        <v>999</v>
      </c>
      <c r="I33" s="2" t="inlineStr">
        <is>
          <t>3530</t>
        </is>
      </c>
      <c r="J33" s="4"/>
      <c r="K33" s="2">
        <v>30</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20000000",IF(NOT(ABS(IFERROR(VALUE(LEFT(M33,FIND("-",M33)-1)),M33)*100-(2500+2000000000)/2)&lt;=ABS(2500-2000000000)/2),"Цена со скидкой должна быть от 25 до 20000000",IF(IFERROR(VALUE(LEFT(M33,FIND("-",M33)-1)),M33)*220&lt;247100,"Вы уменьшили цену в несколько раз, товар попадет в карантин цен",IF(AND(IFERROR(VALUE(I33),0)=0,ISNUMBER(J33),OR(J33&lt;206,ABS(IFERROR(VALUE(LEFT(M33,FIND("-",M33)-1)),M33))*100&lt;20600)),"Проверьте цену товара. Большинство товаров в выбранной категории стоят дороже 206",""))))),"")</f>
      </c>
    </row>
    <row r="34">
      <c r="A34" s="2" t="inlineStr">
        <is>
          <t>Крымский Хан</t>
        </is>
      </c>
      <c r="B34" s="2" t="inlineStr">
        <is>
          <t>Подвески бижутерные</t>
        </is>
      </c>
      <c r="C34" s="2">
        <v>316655368</v>
      </c>
      <c r="D34" s="2" t="inlineStr">
        <is>
          <t>62</t>
        </is>
      </c>
      <c r="E34" s="2" t="inlineStr">
        <is>
          <t>2042575460818</t>
        </is>
      </c>
      <c r="F34" s="2">
        <v>5</v>
      </c>
      <c r="G34" s="2">
        <v>0</v>
      </c>
      <c r="H34" s="2">
        <v>999</v>
      </c>
      <c r="I34" s="2" t="inlineStr">
        <is>
          <t>1295</t>
        </is>
      </c>
      <c r="J34" s="4"/>
      <c r="K34" s="2">
        <v>30</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20000000",IF(NOT(ABS(IFERROR(VALUE(LEFT(M34,FIND("-",M34)-1)),M34)*100-(2500+2000000000)/2)&lt;=ABS(2500-2000000000)/2),"Цена со скидкой должна быть от 25 до 20000000",IF(IFERROR(VALUE(LEFT(M34,FIND("-",M34)-1)),M34)*220&lt;90649,"Вы уменьшили цену в несколько раз, товар попадет в карантин цен",IF(AND(IFERROR(VALUE(I34),0)=0,ISNUMBER(J34),OR(J34&lt;214,ABS(IFERROR(VALUE(LEFT(M34,FIND("-",M34)-1)),M34))*100&lt;21400)),"Проверьте цену товара. Большинство товаров в выбранной категории стоят дороже 214",""))))),"")</f>
      </c>
    </row>
    <row r="35">
      <c r="A35" s="2" t="inlineStr">
        <is>
          <t/>
        </is>
      </c>
      <c r="B35" s="2" t="inlineStr">
        <is>
          <t>Браслеты</t>
        </is>
      </c>
      <c r="C35" s="2">
        <v>328804908</v>
      </c>
      <c r="D35" s="2" t="inlineStr">
        <is>
          <t>wb1k515js1</t>
        </is>
      </c>
      <c r="E35" s="2" t="inlineStr">
        <is>
          <t>2042793689732</t>
        </is>
      </c>
      <c r="F35" s="2" t="inlineStr">
        <is>
          <t/>
        </is>
      </c>
      <c r="G35" s="2" t="inlineStr">
        <is>
          <t/>
        </is>
      </c>
      <c r="H35" s="2" t="inlineStr">
        <is>
          <t/>
        </is>
      </c>
      <c r="I35" s="2" t="inlineStr">
        <is>
          <t>3530</t>
        </is>
      </c>
      <c r="J35" s="4"/>
      <c r="K35" s="2">
        <v>25</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20000000",IF(NOT(ABS(IFERROR(VALUE(LEFT(M35,FIND("-",M35)-1)),M35)*100-(2500+2000000000)/2)&lt;=ABS(2500-2000000000)/2),"Цена со скидкой должна быть от 25 до 20000000",IF(IFERROR(VALUE(LEFT(M35,FIND("-",M35)-1)),M35)*220&lt;264750,"Вы уменьшили цену в несколько раз, товар попадет в карантин цен",IF(AND(IFERROR(VALUE(I35),0)=0,ISNUMBER(J35),OR(J35&lt;206,ABS(IFERROR(VALUE(LEFT(M35,FIND("-",M35)-1)),M35))*100&lt;20600)),"Проверьте цену товара. Большинство товаров в выбранной категории стоят дороже 206",""))))),"")</f>
      </c>
    </row>
    <row r="36">
      <c r="A36" s="2" t="inlineStr">
        <is>
          <t>Крымский Хан</t>
        </is>
      </c>
      <c r="B36" s="2" t="inlineStr">
        <is>
          <t>Браслеты</t>
        </is>
      </c>
      <c r="C36" s="2">
        <v>266789966</v>
      </c>
      <c r="D36" s="2" t="inlineStr">
        <is>
          <t>14</t>
        </is>
      </c>
      <c r="E36" s="2" t="inlineStr">
        <is>
          <t>2041360527293</t>
        </is>
      </c>
      <c r="F36" s="2">
        <v>6</v>
      </c>
      <c r="G36" s="2">
        <v>0</v>
      </c>
      <c r="H36" s="2">
        <v>999</v>
      </c>
      <c r="I36" s="2" t="inlineStr">
        <is>
          <t>3530</t>
        </is>
      </c>
      <c r="J36" s="4"/>
      <c r="K36" s="2">
        <v>31</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20000000",IF(NOT(ABS(IFERROR(VALUE(LEFT(M36,FIND("-",M36)-1)),M36)*100-(2500+2000000000)/2)&lt;=ABS(2500-2000000000)/2),"Цена со скидкой должна быть от 25 до 20000000",IF(IFERROR(VALUE(LEFT(M36,FIND("-",M36)-1)),M36)*220&lt;243569,"Вы уменьшили цену в несколько раз, товар попадет в карантин цен",IF(AND(IFERROR(VALUE(I36),0)=0,ISNUMBER(J36),OR(J36&lt;206,ABS(IFERROR(VALUE(LEFT(M36,FIND("-",M36)-1)),M36))*100&lt;20600)),"Проверьте цену товара. Большинство товаров в выбранной категории стоят дороже 206",""))))),"")</f>
      </c>
    </row>
    <row r="37">
      <c r="A37" s="2" t="inlineStr">
        <is>
          <t>Крымский Хан</t>
        </is>
      </c>
      <c r="B37" s="2" t="inlineStr">
        <is>
          <t>Серьги</t>
        </is>
      </c>
      <c r="C37" s="2">
        <v>316654389</v>
      </c>
      <c r="D37" s="2" t="inlineStr">
        <is>
          <t>86</t>
        </is>
      </c>
      <c r="E37" s="2" t="inlineStr">
        <is>
          <t>2042574981475</t>
        </is>
      </c>
      <c r="F37" s="2">
        <v>31</v>
      </c>
      <c r="G37" s="2">
        <v>0</v>
      </c>
      <c r="H37" s="2">
        <v>999</v>
      </c>
      <c r="I37" s="2" t="inlineStr">
        <is>
          <t>2942</t>
        </is>
      </c>
      <c r="J37" s="4"/>
      <c r="K37" s="2">
        <v>44</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20000000",IF(NOT(ABS(IFERROR(VALUE(LEFT(M37,FIND("-",M37)-1)),M37)*100-(2500+2000000000)/2)&lt;=ABS(2500-2000000000)/2),"Цена со скидкой должна быть от 25 до 20000000",IF(IFERROR(VALUE(LEFT(M37,FIND("-",M37)-1)),M37)*220&lt;164752,"Вы уменьшили цену в несколько раз, товар попадет в карантин цен",IF(AND(IFERROR(VALUE(I37),0)=0,ISNUMBER(J37),OR(J37&lt;211,ABS(IFERROR(VALUE(LEFT(M37,FIND("-",M37)-1)),M37))*100&lt;21100)),"Проверьте цену товара. Большинство товаров в выбранной категории стоят дороже 211",""))))),"")</f>
      </c>
    </row>
    <row r="38">
      <c r="A38" s="2" t="inlineStr">
        <is>
          <t>Крымский Хан</t>
        </is>
      </c>
      <c r="B38" s="2" t="inlineStr">
        <is>
          <t>Серьги</t>
        </is>
      </c>
      <c r="C38" s="2">
        <v>316654406</v>
      </c>
      <c r="D38" s="2" t="inlineStr">
        <is>
          <t>101</t>
        </is>
      </c>
      <c r="E38" s="2" t="inlineStr">
        <is>
          <t>2042574981628</t>
        </is>
      </c>
      <c r="F38" s="2">
        <v>23</v>
      </c>
      <c r="G38" s="2">
        <v>0</v>
      </c>
      <c r="H38" s="2">
        <v>696</v>
      </c>
      <c r="I38" s="2" t="inlineStr">
        <is>
          <t>2942</t>
        </is>
      </c>
      <c r="J38" s="4"/>
      <c r="K38" s="2">
        <v>43</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20000000",IF(NOT(ABS(IFERROR(VALUE(LEFT(M38,FIND("-",M38)-1)),M38)*100-(2500+2000000000)/2)&lt;=ABS(2500-2000000000)/2),"Цена со скидкой должна быть от 25 до 20000000",IF(IFERROR(VALUE(LEFT(M38,FIND("-",M38)-1)),M38)*220&lt;167694,"Вы уменьшили цену в несколько раз, товар попадет в карантин цен",IF(AND(IFERROR(VALUE(I38),0)=0,ISNUMBER(J38),OR(J38&lt;211,ABS(IFERROR(VALUE(LEFT(M38,FIND("-",M38)-1)),M38))*100&lt;21100)),"Проверьте цену товара. Большинство товаров в выбранной категории стоят дороже 211",""))))),"")</f>
      </c>
    </row>
    <row r="39">
      <c r="A39" s="2" t="inlineStr">
        <is>
          <t>Крымский Хан</t>
        </is>
      </c>
      <c r="B39" s="2" t="inlineStr">
        <is>
          <t>Браслеты</t>
        </is>
      </c>
      <c r="C39" s="2">
        <v>328804912</v>
      </c>
      <c r="D39" s="2" t="inlineStr">
        <is>
          <t>77</t>
        </is>
      </c>
      <c r="E39" s="2" t="inlineStr">
        <is>
          <t>2042793689770</t>
        </is>
      </c>
      <c r="F39" s="2">
        <v>2</v>
      </c>
      <c r="G39" s="2">
        <v>0</v>
      </c>
      <c r="H39" s="2">
        <v>999</v>
      </c>
      <c r="I39" s="2" t="inlineStr">
        <is>
          <t>3530</t>
        </is>
      </c>
      <c r="J39" s="4"/>
      <c r="K39" s="2">
        <v>31</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20000000",IF(NOT(ABS(IFERROR(VALUE(LEFT(M39,FIND("-",M39)-1)),M39)*100-(2500+2000000000)/2)&lt;=ABS(2500-2000000000)/2),"Цена со скидкой должна быть от 25 до 20000000",IF(IFERROR(VALUE(LEFT(M39,FIND("-",M39)-1)),M39)*220&lt;243569,"Вы уменьшили цену в несколько раз, товар попадет в карантин цен",IF(AND(IFERROR(VALUE(I39),0)=0,ISNUMBER(J39),OR(J39&lt;206,ABS(IFERROR(VALUE(LEFT(M39,FIND("-",M39)-1)),M39))*100&lt;20600)),"Проверьте цену товара. Большинство товаров в выбранной категории стоят дороже 206",""))))),"")</f>
      </c>
    </row>
    <row r="40">
      <c r="A40" s="2" t="inlineStr">
        <is>
          <t/>
        </is>
      </c>
      <c r="B40" s="2" t="inlineStr">
        <is>
          <t>Подвески бижутерные</t>
        </is>
      </c>
      <c r="C40" s="2">
        <v>316655374</v>
      </c>
      <c r="D40" s="2" t="inlineStr">
        <is>
          <t>68</t>
        </is>
      </c>
      <c r="E40" s="2" t="inlineStr">
        <is>
          <t>2042575460870</t>
        </is>
      </c>
      <c r="F40" s="2">
        <v>3</v>
      </c>
      <c r="G40" s="2">
        <v>0</v>
      </c>
      <c r="H40" s="2">
        <v>999</v>
      </c>
      <c r="I40" s="2" t="inlineStr">
        <is>
          <t>1295</t>
        </is>
      </c>
      <c r="J40" s="4"/>
      <c r="K40" s="2">
        <v>33</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20000000",IF(NOT(ABS(IFERROR(VALUE(LEFT(M40,FIND("-",M40)-1)),M40)*100-(2500+2000000000)/2)&lt;=ABS(2500-2000000000)/2),"Цена со скидкой должна быть от 25 до 20000000",IF(IFERROR(VALUE(LEFT(M40,FIND("-",M40)-1)),M40)*220&lt;86764,"Вы уменьшили цену в несколько раз, товар попадет в карантин цен",IF(AND(IFERROR(VALUE(I40),0)=0,ISNUMBER(J40),OR(J40&lt;214,ABS(IFERROR(VALUE(LEFT(M40,FIND("-",M40)-1)),M40))*100&lt;21400)),"Проверьте цену товара. Большинство товаров в выбранной категории стоят дороже 214",""))))),"")</f>
      </c>
    </row>
    <row r="41">
      <c r="A41" s="2" t="inlineStr">
        <is>
          <t>Крымский Хан</t>
        </is>
      </c>
      <c r="B41" s="2" t="inlineStr">
        <is>
          <t>Серьги</t>
        </is>
      </c>
      <c r="C41" s="2">
        <v>316654395</v>
      </c>
      <c r="D41" s="2" t="inlineStr">
        <is>
          <t>92</t>
        </is>
      </c>
      <c r="E41" s="2" t="inlineStr">
        <is>
          <t>2042574981536</t>
        </is>
      </c>
      <c r="F41" s="2">
        <v>8</v>
      </c>
      <c r="G41" s="2">
        <v>9</v>
      </c>
      <c r="H41" s="2">
        <v>105</v>
      </c>
      <c r="I41" s="2" t="inlineStr">
        <is>
          <t>2942</t>
        </is>
      </c>
      <c r="J41" s="4"/>
      <c r="K41" s="2">
        <v>40</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20000000",IF(NOT(ABS(IFERROR(VALUE(LEFT(M41,FIND("-",M41)-1)),M41)*100-(2500+2000000000)/2)&lt;=ABS(2500-2000000000)/2),"Цена со скидкой должна быть от 25 до 20000000",IF(IFERROR(VALUE(LEFT(M41,FIND("-",M41)-1)),M41)*220&lt;176520,"Вы уменьшили цену в несколько раз, товар попадет в карантин цен",IF(AND(IFERROR(VALUE(I41),0)=0,ISNUMBER(J41),OR(J41&lt;211,ABS(IFERROR(VALUE(LEFT(M41,FIND("-",M41)-1)),M41))*100&lt;21100)),"Проверьте цену товара. Большинство товаров в выбранной категории стоят дороже 211",""))))),"")</f>
      </c>
    </row>
    <row r="42">
      <c r="A42" s="2" t="inlineStr">
        <is>
          <t>Крымский Хан</t>
        </is>
      </c>
      <c r="B42" s="2" t="inlineStr">
        <is>
          <t>Подвески бижутерные</t>
        </is>
      </c>
      <c r="C42" s="2">
        <v>316655364</v>
      </c>
      <c r="D42" s="2" t="inlineStr">
        <is>
          <t>59</t>
        </is>
      </c>
      <c r="E42" s="2" t="inlineStr">
        <is>
          <t>2042575460788</t>
        </is>
      </c>
      <c r="F42" s="2">
        <v>4</v>
      </c>
      <c r="G42" s="2">
        <v>0</v>
      </c>
      <c r="H42" s="2">
        <v>999</v>
      </c>
      <c r="I42" s="2" t="inlineStr">
        <is>
          <t>1295</t>
        </is>
      </c>
      <c r="J42" s="4"/>
      <c r="K42" s="2">
        <v>34</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20000000",IF(NOT(ABS(IFERROR(VALUE(LEFT(M42,FIND("-",M42)-1)),M42)*100-(2500+2000000000)/2)&lt;=ABS(2500-2000000000)/2),"Цена со скидкой должна быть от 25 до 20000000",IF(IFERROR(VALUE(LEFT(M42,FIND("-",M42)-1)),M42)*220&lt;85470,"Вы уменьшили цену в несколько раз, товар попадет в карантин цен",IF(AND(IFERROR(VALUE(I42),0)=0,ISNUMBER(J42),OR(J42&lt;214,ABS(IFERROR(VALUE(LEFT(M42,FIND("-",M42)-1)),M42))*100&lt;21400)),"Проверьте цену товара. Большинство товаров в выбранной категории стоят дороже 214",""))))),"")</f>
      </c>
    </row>
    <row r="43">
      <c r="A43" s="2" t="inlineStr">
        <is>
          <t>Крымский Хан</t>
        </is>
      </c>
      <c r="B43" s="2" t="inlineStr">
        <is>
          <t>Серьги</t>
        </is>
      </c>
      <c r="C43" s="2">
        <v>316654393</v>
      </c>
      <c r="D43" s="2" t="inlineStr">
        <is>
          <t>90</t>
        </is>
      </c>
      <c r="E43" s="2" t="inlineStr">
        <is>
          <t>2042574981512</t>
        </is>
      </c>
      <c r="F43" s="2">
        <v>36</v>
      </c>
      <c r="G43" s="2">
        <v>0</v>
      </c>
      <c r="H43" s="2">
        <v>20</v>
      </c>
      <c r="I43" s="2" t="inlineStr">
        <is>
          <t>3200</t>
        </is>
      </c>
      <c r="J43" s="4"/>
      <c r="K43" s="2">
        <v>36</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20000000",IF(NOT(ABS(IFERROR(VALUE(LEFT(M43,FIND("-",M43)-1)),M43)*100-(2500+2000000000)/2)&lt;=ABS(2500-2000000000)/2),"Цена со скидкой должна быть от 25 до 20000000",IF(IFERROR(VALUE(LEFT(M43,FIND("-",M43)-1)),M43)*220&lt;204800,"Вы уменьшили цену в несколько раз, товар попадет в карантин цен",IF(AND(IFERROR(VALUE(I43),0)=0,ISNUMBER(J43),OR(J43&lt;211,ABS(IFERROR(VALUE(LEFT(M43,FIND("-",M43)-1)),M43))*100&lt;21100)),"Проверьте цену товара. Большинство товаров в выбранной категории стоят дороже 211",""))))),"")</f>
      </c>
    </row>
    <row r="44">
      <c r="A44" s="2" t="inlineStr">
        <is>
          <t>Крымский Хан</t>
        </is>
      </c>
      <c r="B44" s="2" t="inlineStr">
        <is>
          <t>Серьги</t>
        </is>
      </c>
      <c r="C44" s="2">
        <v>268147389</v>
      </c>
      <c r="D44" s="2" t="inlineStr">
        <is>
          <t>серьги 27</t>
        </is>
      </c>
      <c r="E44" s="2" t="inlineStr">
        <is>
          <t>2041388839910</t>
        </is>
      </c>
      <c r="F44" s="2">
        <v>13</v>
      </c>
      <c r="G44" s="2">
        <v>0</v>
      </c>
      <c r="H44" s="2">
        <v>387</v>
      </c>
      <c r="I44" s="2" t="inlineStr">
        <is>
          <t>3177</t>
        </is>
      </c>
      <c r="J44" s="4"/>
      <c r="K44" s="2">
        <v>36</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20000000",IF(NOT(ABS(IFERROR(VALUE(LEFT(M44,FIND("-",M44)-1)),M44)*100-(2500+2000000000)/2)&lt;=ABS(2500-2000000000)/2),"Цена со скидкой должна быть от 25 до 20000000",IF(IFERROR(VALUE(LEFT(M44,FIND("-",M44)-1)),M44)*220&lt;203328,"Вы уменьшили цену в несколько раз, товар попадет в карантин цен",IF(AND(IFERROR(VALUE(I44),0)=0,ISNUMBER(J44),OR(J44&lt;211,ABS(IFERROR(VALUE(LEFT(M44,FIND("-",M44)-1)),M44))*100&lt;21100)),"Проверьте цену товара. Большинство товаров в выбранной категории стоят дороже 211",""))))),"")</f>
      </c>
    </row>
    <row r="45">
      <c r="A45" s="2" t="inlineStr">
        <is>
          <t>Крымский Хан</t>
        </is>
      </c>
      <c r="B45" s="2" t="inlineStr">
        <is>
          <t>Серьги</t>
        </is>
      </c>
      <c r="C45" s="2">
        <v>316654407</v>
      </c>
      <c r="D45" s="2" t="inlineStr">
        <is>
          <t>102</t>
        </is>
      </c>
      <c r="E45" s="2" t="inlineStr">
        <is>
          <t>2042574981635</t>
        </is>
      </c>
      <c r="F45" s="2">
        <v>18</v>
      </c>
      <c r="G45" s="2">
        <v>0</v>
      </c>
      <c r="H45" s="2">
        <v>570</v>
      </c>
      <c r="I45" s="2" t="inlineStr">
        <is>
          <t>2942</t>
        </is>
      </c>
      <c r="J45" s="4"/>
      <c r="K45" s="2">
        <v>46</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20000000",IF(NOT(ABS(IFERROR(VALUE(LEFT(M45,FIND("-",M45)-1)),M45)*100-(2500+2000000000)/2)&lt;=ABS(2500-2000000000)/2),"Цена со скидкой должна быть от 25 до 20000000",IF(IFERROR(VALUE(LEFT(M45,FIND("-",M45)-1)),M45)*220&lt;158868,"Вы уменьшили цену в несколько раз, товар попадет в карантин цен",IF(AND(IFERROR(VALUE(I45),0)=0,ISNUMBER(J45),OR(J45&lt;211,ABS(IFERROR(VALUE(LEFT(M45,FIND("-",M45)-1)),M45))*100&lt;21100)),"Проверьте цену товара. Большинство товаров в выбранной категории стоят дороже 211",""))))),"")</f>
      </c>
    </row>
    <row r="46">
      <c r="A46" s="2" t="inlineStr">
        <is>
          <t>Крымский Хан</t>
        </is>
      </c>
      <c r="B46" s="2" t="inlineStr">
        <is>
          <t>Подвески бижутерные</t>
        </is>
      </c>
      <c r="C46" s="2">
        <v>316655360</v>
      </c>
      <c r="D46" s="2" t="inlineStr">
        <is>
          <t>55</t>
        </is>
      </c>
      <c r="E46" s="2" t="inlineStr">
        <is>
          <t>2042575460740</t>
        </is>
      </c>
      <c r="F46" s="2">
        <v>5</v>
      </c>
      <c r="G46" s="2">
        <v>0</v>
      </c>
      <c r="H46" s="2">
        <v>999</v>
      </c>
      <c r="I46" s="2" t="inlineStr">
        <is>
          <t>1295</t>
        </is>
      </c>
      <c r="J46" s="4"/>
      <c r="K46" s="2">
        <v>33</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20000000",IF(NOT(ABS(IFERROR(VALUE(LEFT(M46,FIND("-",M46)-1)),M46)*100-(2500+2000000000)/2)&lt;=ABS(2500-2000000000)/2),"Цена со скидкой должна быть от 25 до 20000000",IF(IFERROR(VALUE(LEFT(M46,FIND("-",M46)-1)),M46)*220&lt;86764,"Вы уменьшили цену в несколько раз, товар попадет в карантин цен",IF(AND(IFERROR(VALUE(I46),0)=0,ISNUMBER(J46),OR(J46&lt;214,ABS(IFERROR(VALUE(LEFT(M46,FIND("-",M46)-1)),M46))*100&lt;21400)),"Проверьте цену товара. Большинство товаров в выбранной категории стоят дороже 214",""))))),"")</f>
      </c>
    </row>
    <row r="47">
      <c r="A47" s="2" t="inlineStr">
        <is>
          <t>Крымский Хан</t>
        </is>
      </c>
      <c r="B47" s="2" t="inlineStr">
        <is>
          <t>Серьги</t>
        </is>
      </c>
      <c r="C47" s="2">
        <v>316654398</v>
      </c>
      <c r="D47" s="2" t="inlineStr">
        <is>
          <t>95</t>
        </is>
      </c>
      <c r="E47" s="2" t="inlineStr">
        <is>
          <t>2042574981567</t>
        </is>
      </c>
      <c r="F47" s="2">
        <v>3</v>
      </c>
      <c r="G47" s="2">
        <v>0</v>
      </c>
      <c r="H47" s="2">
        <v>28</v>
      </c>
      <c r="I47" s="2" t="inlineStr">
        <is>
          <t>2942</t>
        </is>
      </c>
      <c r="J47" s="4"/>
      <c r="K47" s="2">
        <v>36</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20000000",IF(NOT(ABS(IFERROR(VALUE(LEFT(M47,FIND("-",M47)-1)),M47)*100-(2500+2000000000)/2)&lt;=ABS(2500-2000000000)/2),"Цена со скидкой должна быть от 25 до 20000000",IF(IFERROR(VALUE(LEFT(M47,FIND("-",M47)-1)),M47)*220&lt;188288,"Вы уменьшили цену в несколько раз, товар попадет в карантин цен",IF(AND(IFERROR(VALUE(I47),0)=0,ISNUMBER(J47),OR(J47&lt;211,ABS(IFERROR(VALUE(LEFT(M47,FIND("-",M47)-1)),M47))*100&lt;21100)),"Проверьте цену товара. Большинство товаров в выбранной категории стоят дороже 211",""))))),"")</f>
      </c>
    </row>
    <row r="48">
      <c r="A48" s="2" t="inlineStr">
        <is>
          <t>Крымский Хан</t>
        </is>
      </c>
      <c r="B48" s="2" t="inlineStr">
        <is>
          <t>Серьги</t>
        </is>
      </c>
      <c r="C48" s="2">
        <v>268147399</v>
      </c>
      <c r="D48" s="2" t="inlineStr">
        <is>
          <t>серьги 37</t>
        </is>
      </c>
      <c r="E48" s="2" t="inlineStr">
        <is>
          <t>2041388840015</t>
        </is>
      </c>
      <c r="F48" s="2">
        <v>5</v>
      </c>
      <c r="G48" s="2">
        <v>8</v>
      </c>
      <c r="H48" s="2">
        <v>143</v>
      </c>
      <c r="I48" s="2" t="inlineStr">
        <is>
          <t>3177</t>
        </is>
      </c>
      <c r="J48" s="4"/>
      <c r="K48" s="2">
        <v>36</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20000000",IF(NOT(ABS(IFERROR(VALUE(LEFT(M48,FIND("-",M48)-1)),M48)*100-(2500+2000000000)/2)&lt;=ABS(2500-2000000000)/2),"Цена со скидкой должна быть от 25 до 20000000",IF(IFERROR(VALUE(LEFT(M48,FIND("-",M48)-1)),M48)*220&lt;203328,"Вы уменьшили цену в несколько раз, товар попадет в карантин цен",IF(AND(IFERROR(VALUE(I48),0)=0,ISNUMBER(J48),OR(J48&lt;211,ABS(IFERROR(VALUE(LEFT(M48,FIND("-",M48)-1)),M48))*100&lt;21100)),"Проверьте цену товара. Большинство товаров в выбранной категории стоят дороже 211",""))))),"")</f>
      </c>
    </row>
    <row r="49">
      <c r="A49" s="2" t="inlineStr">
        <is>
          <t>Крымский Хан</t>
        </is>
      </c>
      <c r="B49" s="2" t="inlineStr">
        <is>
          <t>Подвески бижутерные</t>
        </is>
      </c>
      <c r="C49" s="2">
        <v>316655366</v>
      </c>
      <c r="D49" s="2" t="inlineStr">
        <is>
          <t>61</t>
        </is>
      </c>
      <c r="E49" s="2" t="inlineStr">
        <is>
          <t>2042575460801</t>
        </is>
      </c>
      <c r="F49" s="2">
        <v>10</v>
      </c>
      <c r="G49" s="2">
        <v>0</v>
      </c>
      <c r="H49" s="2">
        <v>999</v>
      </c>
      <c r="I49" s="2" t="inlineStr">
        <is>
          <t>1295</t>
        </is>
      </c>
      <c r="J49" s="4"/>
      <c r="K49" s="2">
        <v>34</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20000000",IF(NOT(ABS(IFERROR(VALUE(LEFT(M49,FIND("-",M49)-1)),M49)*100-(2500+2000000000)/2)&lt;=ABS(2500-2000000000)/2),"Цена со скидкой должна быть от 25 до 20000000",IF(IFERROR(VALUE(LEFT(M49,FIND("-",M49)-1)),M49)*220&lt;85470,"Вы уменьшили цену в несколько раз, товар попадет в карантин цен",IF(AND(IFERROR(VALUE(I49),0)=0,ISNUMBER(J49),OR(J49&lt;214,ABS(IFERROR(VALUE(LEFT(M49,FIND("-",M49)-1)),M49))*100&lt;21400)),"Проверьте цену товара. Большинство товаров в выбранной категории стоят дороже 214",""))))),"")</f>
      </c>
    </row>
    <row r="50">
      <c r="A50" s="2" t="inlineStr">
        <is>
          <t>Крымский Хан</t>
        </is>
      </c>
      <c r="B50" s="2" t="inlineStr">
        <is>
          <t>Серьги</t>
        </is>
      </c>
      <c r="C50" s="2">
        <v>268147383</v>
      </c>
      <c r="D50" s="2" t="inlineStr">
        <is>
          <t>серьги 21</t>
        </is>
      </c>
      <c r="E50" s="2" t="inlineStr">
        <is>
          <t>2041388839859</t>
        </is>
      </c>
      <c r="F50" s="2">
        <v>3</v>
      </c>
      <c r="G50" s="2">
        <v>0</v>
      </c>
      <c r="H50" s="2">
        <v>52</v>
      </c>
      <c r="I50" s="2" t="inlineStr">
        <is>
          <t>3177</t>
        </is>
      </c>
      <c r="J50" s="4"/>
      <c r="K50" s="2">
        <v>37</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20000000",IF(NOT(ABS(IFERROR(VALUE(LEFT(M50,FIND("-",M50)-1)),M50)*100-(2500+2000000000)/2)&lt;=ABS(2500-2000000000)/2),"Цена со скидкой должна быть от 25 до 20000000",IF(IFERROR(VALUE(LEFT(M50,FIND("-",M50)-1)),M50)*220&lt;200151,"Вы уменьшили цену в несколько раз, товар попадет в карантин цен",IF(AND(IFERROR(VALUE(I50),0)=0,ISNUMBER(J50),OR(J50&lt;211,ABS(IFERROR(VALUE(LEFT(M50,FIND("-",M50)-1)),M50))*100&lt;21100)),"Проверьте цену товара. Большинство товаров в выбранной категории стоят дороже 211",""))))),"")</f>
      </c>
    </row>
    <row r="51">
      <c r="A51" s="2" t="inlineStr">
        <is>
          <t/>
        </is>
      </c>
      <c r="B51" s="2" t="inlineStr">
        <is>
          <t>Браслеты</t>
        </is>
      </c>
      <c r="C51" s="2">
        <v>328804913</v>
      </c>
      <c r="D51" s="2" t="inlineStr">
        <is>
          <t>wb2bpbls2p4</t>
        </is>
      </c>
      <c r="E51" s="2" t="inlineStr">
        <is>
          <t>2042793689787</t>
        </is>
      </c>
      <c r="F51" s="2" t="inlineStr">
        <is>
          <t/>
        </is>
      </c>
      <c r="G51" s="2" t="inlineStr">
        <is>
          <t/>
        </is>
      </c>
      <c r="H51" s="2" t="inlineStr">
        <is>
          <t/>
        </is>
      </c>
      <c r="I51" s="2" t="inlineStr">
        <is>
          <t>3530</t>
        </is>
      </c>
      <c r="J51" s="4"/>
      <c r="K51" s="2">
        <v>15</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20000000",IF(NOT(ABS(IFERROR(VALUE(LEFT(M51,FIND("-",M51)-1)),M51)*100-(2500+2000000000)/2)&lt;=ABS(2500-2000000000)/2),"Цена со скидкой должна быть от 25 до 20000000",IF(IFERROR(VALUE(LEFT(M51,FIND("-",M51)-1)),M51)*220&lt;300050,"Вы уменьшили цену в несколько раз, товар попадет в карантин цен",IF(AND(IFERROR(VALUE(I51),0)=0,ISNUMBER(J51),OR(J51&lt;206,ABS(IFERROR(VALUE(LEFT(M51,FIND("-",M51)-1)),M51))*100&lt;20600)),"Проверьте цену товара. Большинство товаров в выбранной категории стоят дороже 206",""))))),"")</f>
      </c>
    </row>
    <row r="52">
      <c r="A52" s="2" t="inlineStr">
        <is>
          <t/>
        </is>
      </c>
      <c r="B52" s="2" t="inlineStr">
        <is>
          <t>Кольца</t>
        </is>
      </c>
      <c r="C52" s="2">
        <v>734605456</v>
      </c>
      <c r="D52" s="2" t="inlineStr">
        <is>
          <t>135 латунь</t>
        </is>
      </c>
      <c r="E52" s="2" t="inlineStr">
        <is>
          <t>2048129756260</t>
        </is>
      </c>
      <c r="F52" s="2" t="inlineStr">
        <is>
          <t/>
        </is>
      </c>
      <c r="G52" s="2" t="inlineStr">
        <is>
          <t/>
        </is>
      </c>
      <c r="H52" s="2" t="inlineStr">
        <is>
          <t/>
        </is>
      </c>
      <c r="I52" s="2" t="inlineStr">
        <is>
          <t>0</t>
        </is>
      </c>
      <c r="J52" s="4"/>
      <c r="K52" s="2">
        <v>0</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20000000",IF(NOT(ABS(IFERROR(VALUE(LEFT(M52,FIND("-",M52)-1)),M52)*100-(2500+2000000000)/2)&lt;=ABS(2500-2000000000)/2),"Цена со скидкой должна быть от 25 до 20000000",IF(IFERROR(VALUE(LEFT(M52,FIND("-",M52)-1)),M52)*220&lt;0,"Вы уменьшили цену в несколько раз, товар попадет в карантин цен",IF(AND(IFERROR(VALUE(I52),0)=0,ISNUMBER(J52),OR(J52&lt;248,ABS(IFERROR(VALUE(LEFT(M52,FIND("-",M52)-1)),M52))*100&lt;24800)),"Проверьте цену товара. Большинство товаров в выбранной категории стоят дороже 248",""))))),"")</f>
      </c>
    </row>
    <row r="53">
      <c r="A53" s="2" t="inlineStr">
        <is>
          <t>Крымский Хан</t>
        </is>
      </c>
      <c r="B53" s="2" t="inlineStr">
        <is>
          <t>Подвески бижутерные</t>
        </is>
      </c>
      <c r="C53" s="2">
        <v>316655359</v>
      </c>
      <c r="D53" s="2" t="inlineStr">
        <is>
          <t>54</t>
        </is>
      </c>
      <c r="E53" s="2" t="inlineStr">
        <is>
          <t>2042575460733</t>
        </is>
      </c>
      <c r="F53" s="2">
        <v>10</v>
      </c>
      <c r="G53" s="2">
        <v>0</v>
      </c>
      <c r="H53" s="2">
        <v>999</v>
      </c>
      <c r="I53" s="2" t="inlineStr">
        <is>
          <t>1295</t>
        </is>
      </c>
      <c r="J53" s="4"/>
      <c r="K53" s="2">
        <v>39</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20000000",IF(NOT(ABS(IFERROR(VALUE(LEFT(M53,FIND("-",M53)-1)),M53)*100-(2500+2000000000)/2)&lt;=ABS(2500-2000000000)/2),"Цена со скидкой должна быть от 25 до 20000000",IF(IFERROR(VALUE(LEFT(M53,FIND("-",M53)-1)),M53)*220&lt;78995,"Вы уменьшили цену в несколько раз, товар попадет в карантин цен",IF(AND(IFERROR(VALUE(I53),0)=0,ISNUMBER(J53),OR(J53&lt;214,ABS(IFERROR(VALUE(LEFT(M53,FIND("-",M53)-1)),M53))*100&lt;21400)),"Проверьте цену товара. Большинство товаров в выбранной категории стоят дороже 214",""))))),"")</f>
      </c>
    </row>
    <row r="54">
      <c r="A54" s="2" t="inlineStr">
        <is>
          <t>Крымский Хан</t>
        </is>
      </c>
      <c r="B54" s="2" t="inlineStr">
        <is>
          <t>Серьги</t>
        </is>
      </c>
      <c r="C54" s="2">
        <v>268147403</v>
      </c>
      <c r="D54" s="2" t="inlineStr">
        <is>
          <t>серьги 41</t>
        </is>
      </c>
      <c r="E54" s="2" t="inlineStr">
        <is>
          <t>2041388840053</t>
        </is>
      </c>
      <c r="F54" s="2">
        <v>20</v>
      </c>
      <c r="G54" s="2">
        <v>0</v>
      </c>
      <c r="H54" s="2">
        <v>999</v>
      </c>
      <c r="I54" s="2" t="inlineStr">
        <is>
          <t>3177</t>
        </is>
      </c>
      <c r="J54" s="4"/>
      <c r="K54" s="2">
        <v>40</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20000000",IF(NOT(ABS(IFERROR(VALUE(LEFT(M54,FIND("-",M54)-1)),M54)*100-(2500+2000000000)/2)&lt;=ABS(2500-2000000000)/2),"Цена со скидкой должна быть от 25 до 20000000",IF(IFERROR(VALUE(LEFT(M54,FIND("-",M54)-1)),M54)*220&lt;190619,"Вы уменьшили цену в несколько раз, товар попадет в карантин цен",IF(AND(IFERROR(VALUE(I54),0)=0,ISNUMBER(J54),OR(J54&lt;211,ABS(IFERROR(VALUE(LEFT(M54,FIND("-",M54)-1)),M54))*100&lt;21100)),"Проверьте цену товара. Большинство товаров в выбранной категории стоят дороже 211",""))))),"")</f>
      </c>
    </row>
    <row r="55">
      <c r="A55" s="2" t="inlineStr">
        <is>
          <t>Крымский Хан</t>
        </is>
      </c>
      <c r="B55" s="2" t="inlineStr">
        <is>
          <t>Серьги</t>
        </is>
      </c>
      <c r="C55" s="2">
        <v>268147386</v>
      </c>
      <c r="D55" s="2" t="inlineStr">
        <is>
          <t>серьги 24</t>
        </is>
      </c>
      <c r="E55" s="2" t="inlineStr">
        <is>
          <t>2041388839880</t>
        </is>
      </c>
      <c r="F55" s="2">
        <v>8</v>
      </c>
      <c r="G55" s="2">
        <v>0</v>
      </c>
      <c r="H55" s="2">
        <v>250</v>
      </c>
      <c r="I55" s="2" t="inlineStr">
        <is>
          <t>3177</t>
        </is>
      </c>
      <c r="J55" s="4"/>
      <c r="K55" s="2">
        <v>45</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20000000",IF(NOT(ABS(IFERROR(VALUE(LEFT(M55,FIND("-",M55)-1)),M55)*100-(2500+2000000000)/2)&lt;=ABS(2500-2000000000)/2),"Цена со скидкой должна быть от 25 до 20000000",IF(IFERROR(VALUE(LEFT(M55,FIND("-",M55)-1)),M55)*220&lt;174735,"Вы уменьшили цену в несколько раз, товар попадет в карантин цен",IF(AND(IFERROR(VALUE(I55),0)=0,ISNUMBER(J55),OR(J55&lt;211,ABS(IFERROR(VALUE(LEFT(M55,FIND("-",M55)-1)),M55))*100&lt;21100)),"Проверьте цену товара. Большинство товаров в выбранной категории стоят дороже 211",""))))),"")</f>
      </c>
    </row>
    <row r="56">
      <c r="A56" s="2" t="inlineStr">
        <is>
          <t>Крымский Хан</t>
        </is>
      </c>
      <c r="B56" s="2" t="inlineStr">
        <is>
          <t>Серьги</t>
        </is>
      </c>
      <c r="C56" s="2">
        <v>268147401</v>
      </c>
      <c r="D56" s="2" t="inlineStr">
        <is>
          <t>серьги 39</t>
        </is>
      </c>
      <c r="E56" s="2" t="inlineStr">
        <is>
          <t>2041388840039</t>
        </is>
      </c>
      <c r="F56" s="2">
        <v>0</v>
      </c>
      <c r="G56" s="2">
        <v>2</v>
      </c>
      <c r="H56" s="2">
        <v>18</v>
      </c>
      <c r="I56" s="2" t="inlineStr">
        <is>
          <t>3177</t>
        </is>
      </c>
      <c r="J56" s="4"/>
      <c r="K56" s="2">
        <v>36</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20000000",IF(NOT(ABS(IFERROR(VALUE(LEFT(M56,FIND("-",M56)-1)),M56)*100-(2500+2000000000)/2)&lt;=ABS(2500-2000000000)/2),"Цена со скидкой должна быть от 25 до 20000000",IF(IFERROR(VALUE(LEFT(M56,FIND("-",M56)-1)),M56)*220&lt;203328,"Вы уменьшили цену в несколько раз, товар попадет в карантин цен",IF(AND(IFERROR(VALUE(I56),0)=0,ISNUMBER(J56),OR(J56&lt;211,ABS(IFERROR(VALUE(LEFT(M56,FIND("-",M56)-1)),M56))*100&lt;21100)),"Проверьте цену товара. Большинство товаров в выбранной категории стоят дороже 211",""))))),"")</f>
      </c>
    </row>
    <row r="57">
      <c r="A57" s="2" t="inlineStr">
        <is>
          <t>Крымский Хан</t>
        </is>
      </c>
      <c r="B57" s="2" t="inlineStr">
        <is>
          <t>Серьги</t>
        </is>
      </c>
      <c r="C57" s="2">
        <v>268147405</v>
      </c>
      <c r="D57" s="2" t="inlineStr">
        <is>
          <t>серьги 43</t>
        </is>
      </c>
      <c r="E57" s="2" t="inlineStr">
        <is>
          <t>2041388840077</t>
        </is>
      </c>
      <c r="F57" s="2">
        <v>32</v>
      </c>
      <c r="G57" s="2">
        <v>0</v>
      </c>
      <c r="H57" s="2">
        <v>999</v>
      </c>
      <c r="I57" s="2" t="inlineStr">
        <is>
          <t>3177</t>
        </is>
      </c>
      <c r="J57" s="4"/>
      <c r="K57" s="2">
        <v>52</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20000000",IF(NOT(ABS(IFERROR(VALUE(LEFT(M57,FIND("-",M57)-1)),M57)*100-(2500+2000000000)/2)&lt;=ABS(2500-2000000000)/2),"Цена со скидкой должна быть от 25 до 20000000",IF(IFERROR(VALUE(LEFT(M57,FIND("-",M57)-1)),M57)*220&lt;152496,"Вы уменьшили цену в несколько раз, товар попадет в карантин цен",IF(AND(IFERROR(VALUE(I57),0)=0,ISNUMBER(J57),OR(J57&lt;211,ABS(IFERROR(VALUE(LEFT(M57,FIND("-",M57)-1)),M57))*100&lt;21100)),"Проверьте цену товара. Большинство товаров в выбранной категории стоят дороже 211",""))))),"")</f>
      </c>
    </row>
    <row r="58">
      <c r="A58" s="2" t="inlineStr">
        <is>
          <t>Крымский Хан</t>
        </is>
      </c>
      <c r="B58" s="2" t="inlineStr">
        <is>
          <t>Браслеты</t>
        </is>
      </c>
      <c r="C58" s="2">
        <v>266789954</v>
      </c>
      <c r="D58" s="2" t="inlineStr">
        <is>
          <t>2</t>
        </is>
      </c>
      <c r="E58" s="2" t="inlineStr">
        <is>
          <t>2041360635318</t>
        </is>
      </c>
      <c r="F58" s="2">
        <v>10</v>
      </c>
      <c r="G58" s="2">
        <v>0</v>
      </c>
      <c r="H58" s="2">
        <v>125</v>
      </c>
      <c r="I58" s="2" t="inlineStr">
        <is>
          <t>3530</t>
        </is>
      </c>
      <c r="J58" s="4"/>
      <c r="K58" s="2">
        <v>45</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20000000",IF(NOT(ABS(IFERROR(VALUE(LEFT(M58,FIND("-",M58)-1)),M58)*100-(2500+2000000000)/2)&lt;=ABS(2500-2000000000)/2),"Цена со скидкой должна быть от 25 до 20000000",IF(IFERROR(VALUE(LEFT(M58,FIND("-",M58)-1)),M58)*220&lt;194150,"Вы уменьшили цену в несколько раз, товар попадет в карантин цен",IF(AND(IFERROR(VALUE(I58),0)=0,ISNUMBER(J58),OR(J58&lt;206,ABS(IFERROR(VALUE(LEFT(M58,FIND("-",M58)-1)),M58))*100&lt;20600)),"Проверьте цену товара. Большинство товаров в выбранной категории стоят дороже 206",""))))),"")</f>
      </c>
    </row>
    <row r="59">
      <c r="A59" s="2" t="inlineStr">
        <is>
          <t>Крымский Хан</t>
        </is>
      </c>
      <c r="B59" s="2" t="inlineStr">
        <is>
          <t>Серьги</t>
        </is>
      </c>
      <c r="C59" s="2">
        <v>268147384</v>
      </c>
      <c r="D59" s="2" t="inlineStr">
        <is>
          <t>серьги 22</t>
        </is>
      </c>
      <c r="E59" s="2" t="inlineStr">
        <is>
          <t>2041388839866</t>
        </is>
      </c>
      <c r="F59" s="2">
        <v>36</v>
      </c>
      <c r="G59" s="2">
        <v>0</v>
      </c>
      <c r="H59" s="2">
        <v>43</v>
      </c>
      <c r="I59" s="2" t="inlineStr">
        <is>
          <t>3177</t>
        </is>
      </c>
      <c r="J59" s="4"/>
      <c r="K59" s="2">
        <v>36</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20000000",IF(NOT(ABS(IFERROR(VALUE(LEFT(M59,FIND("-",M59)-1)),M59)*100-(2500+2000000000)/2)&lt;=ABS(2500-2000000000)/2),"Цена со скидкой должна быть от 25 до 20000000",IF(IFERROR(VALUE(LEFT(M59,FIND("-",M59)-1)),M59)*220&lt;203328,"Вы уменьшили цену в несколько раз, товар попадет в карантин цен",IF(AND(IFERROR(VALUE(I59),0)=0,ISNUMBER(J59),OR(J59&lt;211,ABS(IFERROR(VALUE(LEFT(M59,FIND("-",M59)-1)),M59))*100&lt;21100)),"Проверьте цену товара. Большинство товаров в выбранной категории стоят дороже 211",""))))),"")</f>
      </c>
    </row>
    <row r="60">
      <c r="A60" s="2" t="inlineStr">
        <is>
          <t>Крымский Хан</t>
        </is>
      </c>
      <c r="B60" s="2" t="inlineStr">
        <is>
          <t>Серьги</t>
        </is>
      </c>
      <c r="C60" s="2">
        <v>268147396</v>
      </c>
      <c r="D60" s="2" t="inlineStr">
        <is>
          <t>серьги 34</t>
        </is>
      </c>
      <c r="E60" s="2" t="inlineStr">
        <is>
          <t>2041388839989</t>
        </is>
      </c>
      <c r="F60" s="2">
        <v>99</v>
      </c>
      <c r="G60" s="2">
        <v>0</v>
      </c>
      <c r="H60" s="2">
        <v>431</v>
      </c>
      <c r="I60" s="2" t="inlineStr">
        <is>
          <t>3177</t>
        </is>
      </c>
      <c r="J60" s="4"/>
      <c r="K60" s="2">
        <v>36</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20000000",IF(NOT(ABS(IFERROR(VALUE(LEFT(M60,FIND("-",M60)-1)),M60)*100-(2500+2000000000)/2)&lt;=ABS(2500-2000000000)/2),"Цена со скидкой должна быть от 25 до 20000000",IF(IFERROR(VALUE(LEFT(M60,FIND("-",M60)-1)),M60)*220&lt;203328,"Вы уменьшили цену в несколько раз, товар попадет в карантин цен",IF(AND(IFERROR(VALUE(I60),0)=0,ISNUMBER(J60),OR(J60&lt;211,ABS(IFERROR(VALUE(LEFT(M60,FIND("-",M60)-1)),M60))*100&lt;21100)),"Проверьте цену товара. Большинство товаров в выбранной категории стоят дороже 211",""))))),"")</f>
      </c>
    </row>
    <row r="61">
      <c r="A61" s="2" t="inlineStr">
        <is>
          <t>Крымский Хан</t>
        </is>
      </c>
      <c r="B61" s="2" t="inlineStr">
        <is>
          <t>Серьги</t>
        </is>
      </c>
      <c r="C61" s="2">
        <v>268147395</v>
      </c>
      <c r="D61" s="2" t="inlineStr">
        <is>
          <t>серьги 33</t>
        </is>
      </c>
      <c r="E61" s="2" t="inlineStr">
        <is>
          <t>2041388839972</t>
        </is>
      </c>
      <c r="F61" s="2">
        <v>1</v>
      </c>
      <c r="G61" s="2">
        <v>3</v>
      </c>
      <c r="H61" s="2">
        <v>999</v>
      </c>
      <c r="I61" s="2" t="inlineStr">
        <is>
          <t>3177</t>
        </is>
      </c>
      <c r="J61" s="4"/>
      <c r="K61" s="2">
        <v>49</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20000000",IF(NOT(ABS(IFERROR(VALUE(LEFT(M61,FIND("-",M61)-1)),M61)*100-(2500+2000000000)/2)&lt;=ABS(2500-2000000000)/2),"Цена со скидкой должна быть от 25 до 20000000",IF(IFERROR(VALUE(LEFT(M61,FIND("-",M61)-1)),M61)*220&lt;162027,"Вы уменьшили цену в несколько раз, товар попадет в карантин цен",IF(AND(IFERROR(VALUE(I61),0)=0,ISNUMBER(J61),OR(J61&lt;211,ABS(IFERROR(VALUE(LEFT(M61,FIND("-",M61)-1)),M61))*100&lt;21100)),"Проверьте цену товара. Большинство товаров в выбранной категории стоят дороже 211",""))))),"")</f>
      </c>
    </row>
    <row r="62">
      <c r="A62" s="2" t="inlineStr">
        <is>
          <t>Крымский Хан</t>
        </is>
      </c>
      <c r="B62" s="2" t="inlineStr">
        <is>
          <t>Серьги</t>
        </is>
      </c>
      <c r="C62" s="2">
        <v>268147398</v>
      </c>
      <c r="D62" s="2" t="inlineStr">
        <is>
          <t>серьги 36</t>
        </is>
      </c>
      <c r="E62" s="2" t="inlineStr">
        <is>
          <t>2041388840008</t>
        </is>
      </c>
      <c r="F62" s="2">
        <v>13</v>
      </c>
      <c r="G62" s="2">
        <v>0</v>
      </c>
      <c r="H62" s="2">
        <v>999</v>
      </c>
      <c r="I62" s="2" t="inlineStr">
        <is>
          <t>3177</t>
        </is>
      </c>
      <c r="J62" s="4"/>
      <c r="K62" s="2">
        <v>38</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20000000",IF(NOT(ABS(IFERROR(VALUE(LEFT(M62,FIND("-",M62)-1)),M62)*100-(2500+2000000000)/2)&lt;=ABS(2500-2000000000)/2),"Цена со скидкой должна быть от 25 до 20000000",IF(IFERROR(VALUE(LEFT(M62,FIND("-",M62)-1)),M62)*220&lt;196974,"Вы уменьшили цену в несколько раз, товар попадет в карантин цен",IF(AND(IFERROR(VALUE(I62),0)=0,ISNUMBER(J62),OR(J62&lt;211,ABS(IFERROR(VALUE(LEFT(M62,FIND("-",M62)-1)),M62))*100&lt;21100)),"Проверьте цену товара. Большинство товаров в выбранной категории стоят дороже 211",""))))),"")</f>
      </c>
    </row>
    <row r="63">
      <c r="A63" s="2" t="inlineStr">
        <is>
          <t>Крымский Хан</t>
        </is>
      </c>
      <c r="B63" s="2" t="inlineStr">
        <is>
          <t>Серьги</t>
        </is>
      </c>
      <c r="C63" s="2">
        <v>268147381</v>
      </c>
      <c r="D63" s="2" t="inlineStr">
        <is>
          <t>серьги 20</t>
        </is>
      </c>
      <c r="E63" s="2" t="inlineStr">
        <is>
          <t>2041388839842</t>
        </is>
      </c>
      <c r="F63" s="2">
        <v>4</v>
      </c>
      <c r="G63" s="2">
        <v>0</v>
      </c>
      <c r="H63" s="2">
        <v>24</v>
      </c>
      <c r="I63" s="2" t="inlineStr">
        <is>
          <t>3177</t>
        </is>
      </c>
      <c r="J63" s="4"/>
      <c r="K63" s="2">
        <v>36</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20000000",IF(NOT(ABS(IFERROR(VALUE(LEFT(M63,FIND("-",M63)-1)),M63)*100-(2500+2000000000)/2)&lt;=ABS(2500-2000000000)/2),"Цена со скидкой должна быть от 25 до 20000000",IF(IFERROR(VALUE(LEFT(M63,FIND("-",M63)-1)),M63)*220&lt;203328,"Вы уменьшили цену в несколько раз, товар попадет в карантин цен",IF(AND(IFERROR(VALUE(I63),0)=0,ISNUMBER(J63),OR(J63&lt;211,ABS(IFERROR(VALUE(LEFT(M63,FIND("-",M63)-1)),M63))*100&lt;21100)),"Проверьте цену товара. Большинство товаров в выбранной категории стоят дороже 211",""))))),"")</f>
      </c>
    </row>
    <row r="64">
      <c r="A64" s="2" t="inlineStr">
        <is>
          <t/>
        </is>
      </c>
      <c r="B64" s="2" t="inlineStr">
        <is>
          <t>Серьги</t>
        </is>
      </c>
      <c r="C64" s="2">
        <v>734549764</v>
      </c>
      <c r="D64" s="2" t="inlineStr">
        <is>
          <t>151</t>
        </is>
      </c>
      <c r="E64" s="2" t="inlineStr">
        <is>
          <t>2048129076283</t>
        </is>
      </c>
      <c r="F64" s="2" t="inlineStr">
        <is>
          <t/>
        </is>
      </c>
      <c r="G64" s="2" t="inlineStr">
        <is>
          <t/>
        </is>
      </c>
      <c r="H64" s="2" t="inlineStr">
        <is>
          <t/>
        </is>
      </c>
      <c r="I64" s="2" t="inlineStr">
        <is>
          <t>3000</t>
        </is>
      </c>
      <c r="J64" s="4"/>
      <c r="K64" s="2">
        <v>5</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20000000",IF(NOT(ABS(IFERROR(VALUE(LEFT(M64,FIND("-",M64)-1)),M64)*100-(2500+2000000000)/2)&lt;=ABS(2500-2000000000)/2),"Цена со скидкой должна быть от 25 до 20000000",IF(IFERROR(VALUE(LEFT(M64,FIND("-",M64)-1)),M64)*220&lt;285000,"Вы уменьшили цену в несколько раз, товар попадет в карантин цен",IF(AND(IFERROR(VALUE(I64),0)=0,ISNUMBER(J64),OR(J64&lt;211,ABS(IFERROR(VALUE(LEFT(M64,FIND("-",M64)-1)),M64))*100&lt;21100)),"Проверьте цену товара. Большинство товаров в выбранной категории стоят дороже 211",""))))),"")</f>
      </c>
    </row>
    <row r="65">
      <c r="A65" s="2" t="inlineStr">
        <is>
          <t/>
        </is>
      </c>
      <c r="B65" s="2" t="inlineStr">
        <is>
          <t>Подвески бижутерные</t>
        </is>
      </c>
      <c r="C65" s="2">
        <v>316655375</v>
      </c>
      <c r="D65" s="2" t="inlineStr">
        <is>
          <t>69</t>
        </is>
      </c>
      <c r="E65" s="2" t="inlineStr">
        <is>
          <t>2042575460887</t>
        </is>
      </c>
      <c r="F65" s="2">
        <v>21</v>
      </c>
      <c r="G65" s="2">
        <v>0</v>
      </c>
      <c r="H65" s="2">
        <v>63</v>
      </c>
      <c r="I65" s="2" t="inlineStr">
        <is>
          <t>1295</t>
        </is>
      </c>
      <c r="J65" s="4"/>
      <c r="K65" s="2">
        <v>35</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20000000",IF(NOT(ABS(IFERROR(VALUE(LEFT(M65,FIND("-",M65)-1)),M65)*100-(2500+2000000000)/2)&lt;=ABS(2500-2000000000)/2),"Цена со скидкой должна быть от 25 до 20000000",IF(IFERROR(VALUE(LEFT(M65,FIND("-",M65)-1)),M65)*220&lt;84175,"Вы уменьшили цену в несколько раз, товар попадет в карантин цен",IF(AND(IFERROR(VALUE(I65),0)=0,ISNUMBER(J65),OR(J65&lt;214,ABS(IFERROR(VALUE(LEFT(M65,FIND("-",M65)-1)),M65))*100&lt;21400)),"Проверьте цену товара. Большинство товаров в выбранной категории стоят дороже 214",""))))),"")</f>
      </c>
    </row>
    <row r="66">
      <c r="A66" s="2" t="inlineStr">
        <is>
          <t>Крымский Хан</t>
        </is>
      </c>
      <c r="B66" s="2" t="inlineStr">
        <is>
          <t>Браслеты</t>
        </is>
      </c>
      <c r="C66" s="2">
        <v>266789965</v>
      </c>
      <c r="D66" s="2" t="inlineStr">
        <is>
          <t>13</t>
        </is>
      </c>
      <c r="E66" s="2" t="inlineStr">
        <is>
          <t>2041360527286</t>
        </is>
      </c>
      <c r="F66" s="2">
        <v>43</v>
      </c>
      <c r="G66" s="2">
        <v>20</v>
      </c>
      <c r="H66" s="2">
        <v>357</v>
      </c>
      <c r="I66" s="2" t="inlineStr">
        <is>
          <t>3530</t>
        </is>
      </c>
      <c r="J66" s="4"/>
      <c r="K66" s="2">
        <v>30</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20000000",IF(NOT(ABS(IFERROR(VALUE(LEFT(M66,FIND("-",M66)-1)),M66)*100-(2500+2000000000)/2)&lt;=ABS(2500-2000000000)/2),"Цена со скидкой должна быть от 25 до 20000000",IF(IFERROR(VALUE(LEFT(M66,FIND("-",M66)-1)),M66)*220&lt;247100,"Вы уменьшили цену в несколько раз, товар попадет в карантин цен",IF(AND(IFERROR(VALUE(I66),0)=0,ISNUMBER(J66),OR(J66&lt;206,ABS(IFERROR(VALUE(LEFT(M66,FIND("-",M66)-1)),M66))*100&lt;20600)),"Проверьте цену товара. Большинство товаров в выбранной категории стоят дороже 206",""))))),"")</f>
      </c>
    </row>
    <row r="67">
      <c r="A67" s="2" t="inlineStr">
        <is>
          <t>Крымский Хан</t>
        </is>
      </c>
      <c r="B67" s="2" t="inlineStr">
        <is>
          <t>Серьги</t>
        </is>
      </c>
      <c r="C67" s="2">
        <v>268147397</v>
      </c>
      <c r="D67" s="2" t="inlineStr">
        <is>
          <t>серьги 35</t>
        </is>
      </c>
      <c r="E67" s="2" t="inlineStr">
        <is>
          <t>2041388839996</t>
        </is>
      </c>
      <c r="F67" s="2">
        <v>14</v>
      </c>
      <c r="G67" s="2">
        <v>0</v>
      </c>
      <c r="H67" s="2">
        <v>999</v>
      </c>
      <c r="I67" s="2" t="inlineStr">
        <is>
          <t>3177</t>
        </is>
      </c>
      <c r="J67" s="4"/>
      <c r="K67" s="2">
        <v>46</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20000000",IF(NOT(ABS(IFERROR(VALUE(LEFT(M67,FIND("-",M67)-1)),M67)*100-(2500+2000000000)/2)&lt;=ABS(2500-2000000000)/2),"Цена со скидкой должна быть от 25 до 20000000",IF(IFERROR(VALUE(LEFT(M67,FIND("-",M67)-1)),M67)*220&lt;171558,"Вы уменьшили цену в несколько раз, товар попадет в карантин цен",IF(AND(IFERROR(VALUE(I67),0)=0,ISNUMBER(J67),OR(J67&lt;211,ABS(IFERROR(VALUE(LEFT(M67,FIND("-",M67)-1)),M67))*100&lt;21100)),"Проверьте цену товара. Большинство товаров в выбранной категории стоят дороже 211",""))))),"")</f>
      </c>
    </row>
    <row r="68">
      <c r="A68" s="2" t="inlineStr">
        <is>
          <t>Крымский Хан</t>
        </is>
      </c>
      <c r="B68" s="2" t="inlineStr">
        <is>
          <t>Серьги</t>
        </is>
      </c>
      <c r="C68" s="2">
        <v>268147400</v>
      </c>
      <c r="D68" s="2" t="inlineStr">
        <is>
          <t>серьги 38</t>
        </is>
      </c>
      <c r="E68" s="2" t="inlineStr">
        <is>
          <t>2041388840022</t>
        </is>
      </c>
      <c r="F68" s="2">
        <v>24</v>
      </c>
      <c r="G68" s="2">
        <v>0</v>
      </c>
      <c r="H68" s="2">
        <v>999</v>
      </c>
      <c r="I68" s="2" t="inlineStr">
        <is>
          <t>3177</t>
        </is>
      </c>
      <c r="J68" s="4"/>
      <c r="K68" s="2">
        <v>49</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20000000",IF(NOT(ABS(IFERROR(VALUE(LEFT(M68,FIND("-",M68)-1)),M68)*100-(2500+2000000000)/2)&lt;=ABS(2500-2000000000)/2),"Цена со скидкой должна быть от 25 до 20000000",IF(IFERROR(VALUE(LEFT(M68,FIND("-",M68)-1)),M68)*220&lt;162027,"Вы уменьшили цену в несколько раз, товар попадет в карантин цен",IF(AND(IFERROR(VALUE(I68),0)=0,ISNUMBER(J68),OR(J68&lt;211,ABS(IFERROR(VALUE(LEFT(M68,FIND("-",M68)-1)),M68))*100&lt;21100)),"Проверьте цену товара. Большинство товаров в выбранной категории стоят дороже 211",""))))),"")</f>
      </c>
    </row>
    <row r="69">
      <c r="A69" s="2" t="inlineStr">
        <is>
          <t>Крымский Хан</t>
        </is>
      </c>
      <c r="B69" s="2" t="inlineStr">
        <is>
          <t>Серьги</t>
        </is>
      </c>
      <c r="C69" s="2">
        <v>268147394</v>
      </c>
      <c r="D69" s="2" t="inlineStr">
        <is>
          <t>серьги 32</t>
        </is>
      </c>
      <c r="E69" s="2" t="inlineStr">
        <is>
          <t>2041388839965</t>
        </is>
      </c>
      <c r="F69" s="2">
        <v>30</v>
      </c>
      <c r="G69" s="2">
        <v>0</v>
      </c>
      <c r="H69" s="2">
        <v>465</v>
      </c>
      <c r="I69" s="2" t="inlineStr">
        <is>
          <t>3177</t>
        </is>
      </c>
      <c r="J69" s="4"/>
      <c r="K69" s="2">
        <v>36</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20000000",IF(NOT(ABS(IFERROR(VALUE(LEFT(M69,FIND("-",M69)-1)),M69)*100-(2500+2000000000)/2)&lt;=ABS(2500-2000000000)/2),"Цена со скидкой должна быть от 25 до 20000000",IF(IFERROR(VALUE(LEFT(M69,FIND("-",M69)-1)),M69)*220&lt;203328,"Вы уменьшили цену в несколько раз, товар попадет в карантин цен",IF(AND(IFERROR(VALUE(I69),0)=0,ISNUMBER(J69),OR(J69&lt;211,ABS(IFERROR(VALUE(LEFT(M69,FIND("-",M69)-1)),M69))*100&lt;21100)),"Проверьте цену товара. Большинство товаров в выбранной категории стоят дороже 211",""))))),"")</f>
      </c>
    </row>
    <row r="70">
      <c r="A70" s="2" t="inlineStr">
        <is>
          <t>Крымский Хан</t>
        </is>
      </c>
      <c r="B70" s="2" t="inlineStr">
        <is>
          <t>Подвески бижутерные</t>
        </is>
      </c>
      <c r="C70" s="2">
        <v>316655353</v>
      </c>
      <c r="D70" s="2" t="inlineStr">
        <is>
          <t>53</t>
        </is>
      </c>
      <c r="E70" s="2" t="inlineStr">
        <is>
          <t>2042575460726</t>
        </is>
      </c>
      <c r="F70" s="2">
        <v>9</v>
      </c>
      <c r="G70" s="2">
        <v>0</v>
      </c>
      <c r="H70" s="2">
        <v>140</v>
      </c>
      <c r="I70" s="2" t="inlineStr">
        <is>
          <t>1295</t>
        </is>
      </c>
      <c r="J70" s="4"/>
      <c r="K70" s="2">
        <v>32</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20000000",IF(NOT(ABS(IFERROR(VALUE(LEFT(M70,FIND("-",M70)-1)),M70)*100-(2500+2000000000)/2)&lt;=ABS(2500-2000000000)/2),"Цена со скидкой должна быть от 25 до 20000000",IF(IFERROR(VALUE(LEFT(M70,FIND("-",M70)-1)),M70)*220&lt;88059,"Вы уменьшили цену в несколько раз, товар попадет в карантин цен",IF(AND(IFERROR(VALUE(I70),0)=0,ISNUMBER(J70),OR(J70&lt;214,ABS(IFERROR(VALUE(LEFT(M70,FIND("-",M70)-1)),M70))*100&lt;21400)),"Проверьте цену товара. Большинство товаров в выбранной категории стоят дороже 214",""))))),"")</f>
      </c>
    </row>
    <row r="71">
      <c r="A71" s="2" t="inlineStr">
        <is>
          <t>Крымский Хан</t>
        </is>
      </c>
      <c r="B71" s="2" t="inlineStr">
        <is>
          <t>Подвески бижутерные</t>
        </is>
      </c>
      <c r="C71" s="2">
        <v>316655369</v>
      </c>
      <c r="D71" s="2" t="inlineStr">
        <is>
          <t>63</t>
        </is>
      </c>
      <c r="E71" s="2" t="inlineStr">
        <is>
          <t>2042575460825</t>
        </is>
      </c>
      <c r="F71" s="2">
        <v>4</v>
      </c>
      <c r="G71" s="2">
        <v>0</v>
      </c>
      <c r="H71" s="2">
        <v>999</v>
      </c>
      <c r="I71" s="2" t="inlineStr">
        <is>
          <t>1295</t>
        </is>
      </c>
      <c r="J71" s="4"/>
      <c r="K71" s="2">
        <v>33</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20000000",IF(NOT(ABS(IFERROR(VALUE(LEFT(M71,FIND("-",M71)-1)),M71)*100-(2500+2000000000)/2)&lt;=ABS(2500-2000000000)/2),"Цена со скидкой должна быть от 25 до 20000000",IF(IFERROR(VALUE(LEFT(M71,FIND("-",M71)-1)),M71)*220&lt;86764,"Вы уменьшили цену в несколько раз, товар попадет в карантин цен",IF(AND(IFERROR(VALUE(I71),0)=0,ISNUMBER(J71),OR(J71&lt;214,ABS(IFERROR(VALUE(LEFT(M71,FIND("-",M71)-1)),M71))*100&lt;21400)),"Проверьте цену товара. Большинство товаров в выбранной категории стоят дороже 214",""))))),"")</f>
      </c>
    </row>
    <row r="72">
      <c r="A72" s="2" t="inlineStr">
        <is>
          <t>Крымский Хан</t>
        </is>
      </c>
      <c r="B72" s="2" t="inlineStr">
        <is>
          <t>Серьги</t>
        </is>
      </c>
      <c r="C72" s="2">
        <v>316654390</v>
      </c>
      <c r="D72" s="2" t="inlineStr">
        <is>
          <t>87</t>
        </is>
      </c>
      <c r="E72" s="2" t="inlineStr">
        <is>
          <t>2042574981482</t>
        </is>
      </c>
      <c r="F72" s="2">
        <v>9</v>
      </c>
      <c r="G72" s="2">
        <v>6</v>
      </c>
      <c r="H72" s="2">
        <v>24</v>
      </c>
      <c r="I72" s="2" t="inlineStr">
        <is>
          <t>2942</t>
        </is>
      </c>
      <c r="J72" s="4"/>
      <c r="K72" s="2">
        <v>41</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20000000",IF(NOT(ABS(IFERROR(VALUE(LEFT(M72,FIND("-",M72)-1)),M72)*100-(2500+2000000000)/2)&lt;=ABS(2500-2000000000)/2),"Цена со скидкой должна быть от 25 до 20000000",IF(IFERROR(VALUE(LEFT(M72,FIND("-",M72)-1)),M72)*220&lt;173578,"Вы уменьшили цену в несколько раз, товар попадет в карантин цен",IF(AND(IFERROR(VALUE(I72),0)=0,ISNUMBER(J72),OR(J72&lt;211,ABS(IFERROR(VALUE(LEFT(M72,FIND("-",M72)-1)),M72))*100&lt;21100)),"Проверьте цену товара. Большинство товаров в выбранной категории стоят дороже 211",""))))),"")</f>
      </c>
    </row>
    <row r="73">
      <c r="A73" s="2" t="inlineStr">
        <is>
          <t>Крымский Хан</t>
        </is>
      </c>
      <c r="B73" s="2" t="inlineStr">
        <is>
          <t>Подвески бижутерные</t>
        </is>
      </c>
      <c r="C73" s="2">
        <v>316655370</v>
      </c>
      <c r="D73" s="2" t="inlineStr">
        <is>
          <t>64</t>
        </is>
      </c>
      <c r="E73" s="2" t="inlineStr">
        <is>
          <t>2042575460832</t>
        </is>
      </c>
      <c r="F73" s="2">
        <v>4</v>
      </c>
      <c r="G73" s="2">
        <v>0</v>
      </c>
      <c r="H73" s="2">
        <v>999</v>
      </c>
      <c r="I73" s="2" t="inlineStr">
        <is>
          <t>1295</t>
        </is>
      </c>
      <c r="J73" s="4"/>
      <c r="K73" s="2">
        <v>34</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20000000",IF(NOT(ABS(IFERROR(VALUE(LEFT(M73,FIND("-",M73)-1)),M73)*100-(2500+2000000000)/2)&lt;=ABS(2500-2000000000)/2),"Цена со скидкой должна быть от 25 до 20000000",IF(IFERROR(VALUE(LEFT(M73,FIND("-",M73)-1)),M73)*220&lt;85470,"Вы уменьшили цену в несколько раз, товар попадет в карантин цен",IF(AND(IFERROR(VALUE(I73),0)=0,ISNUMBER(J73),OR(J73&lt;214,ABS(IFERROR(VALUE(LEFT(M73,FIND("-",M73)-1)),M73))*100&lt;21400)),"Проверьте цену товара. Большинство товаров в выбранной категории стоят дороже 214",""))))),"")</f>
      </c>
    </row>
    <row r="74">
      <c r="A74" s="2" t="inlineStr">
        <is>
          <t/>
        </is>
      </c>
      <c r="B74" s="2" t="inlineStr">
        <is>
          <t>Браслеты</t>
        </is>
      </c>
      <c r="C74" s="2">
        <v>328804910</v>
      </c>
      <c r="D74" s="2" t="inlineStr">
        <is>
          <t>79</t>
        </is>
      </c>
      <c r="E74" s="2" t="inlineStr">
        <is>
          <t>2042793689756</t>
        </is>
      </c>
      <c r="F74" s="2">
        <v>7</v>
      </c>
      <c r="G74" s="2">
        <v>0</v>
      </c>
      <c r="H74" s="2">
        <v>999</v>
      </c>
      <c r="I74" s="2" t="inlineStr">
        <is>
          <t>3530</t>
        </is>
      </c>
      <c r="J74" s="4"/>
      <c r="K74" s="2">
        <v>31</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20000000",IF(NOT(ABS(IFERROR(VALUE(LEFT(M74,FIND("-",M74)-1)),M74)*100-(2500+2000000000)/2)&lt;=ABS(2500-2000000000)/2),"Цена со скидкой должна быть от 25 до 20000000",IF(IFERROR(VALUE(LEFT(M74,FIND("-",M74)-1)),M74)*220&lt;243569,"Вы уменьшили цену в несколько раз, товар попадет в карантин цен",IF(AND(IFERROR(VALUE(I74),0)=0,ISNUMBER(J74),OR(J74&lt;206,ABS(IFERROR(VALUE(LEFT(M74,FIND("-",M74)-1)),M74))*100&lt;20600)),"Проверьте цену товара. Большинство товаров в выбранной категории стоят дороже 206",""))))),"")</f>
      </c>
    </row>
    <row r="75">
      <c r="A75" s="2" t="inlineStr">
        <is>
          <t>Крымский Хан</t>
        </is>
      </c>
      <c r="B75" s="2" t="inlineStr">
        <is>
          <t>Серьги</t>
        </is>
      </c>
      <c r="C75" s="2">
        <v>268147393</v>
      </c>
      <c r="D75" s="2" t="inlineStr">
        <is>
          <t>серьги 31</t>
        </is>
      </c>
      <c r="E75" s="2" t="inlineStr">
        <is>
          <t>2041388839958</t>
        </is>
      </c>
      <c r="F75" s="2">
        <v>16</v>
      </c>
      <c r="G75" s="2">
        <v>0</v>
      </c>
      <c r="H75" s="2">
        <v>481</v>
      </c>
      <c r="I75" s="2" t="inlineStr">
        <is>
          <t>3177</t>
        </is>
      </c>
      <c r="J75" s="4"/>
      <c r="K75" s="2">
        <v>41</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20000000",IF(NOT(ABS(IFERROR(VALUE(LEFT(M75,FIND("-",M75)-1)),M75)*100-(2500+2000000000)/2)&lt;=ABS(2500-2000000000)/2),"Цена со скидкой должна быть от 25 до 20000000",IF(IFERROR(VALUE(LEFT(M75,FIND("-",M75)-1)),M75)*220&lt;187443,"Вы уменьшили цену в несколько раз, товар попадет в карантин цен",IF(AND(IFERROR(VALUE(I75),0)=0,ISNUMBER(J75),OR(J75&lt;211,ABS(IFERROR(VALUE(LEFT(M75,FIND("-",M75)-1)),M75))*100&lt;21100)),"Проверьте цену товара. Большинство товаров в выбранной категории стоят дороже 211",""))))),"")</f>
      </c>
    </row>
    <row r="76">
      <c r="A76" s="2" t="inlineStr">
        <is>
          <t>Крымский Хан</t>
        </is>
      </c>
      <c r="B76" s="2" t="inlineStr">
        <is>
          <t>Браслеты</t>
        </is>
      </c>
      <c r="C76" s="2">
        <v>328804909</v>
      </c>
      <c r="D76" s="2" t="inlineStr">
        <is>
          <t>80</t>
        </is>
      </c>
      <c r="E76" s="2" t="inlineStr">
        <is>
          <t>2042793689749</t>
        </is>
      </c>
      <c r="F76" s="2">
        <v>6</v>
      </c>
      <c r="G76" s="2">
        <v>0</v>
      </c>
      <c r="H76" s="2">
        <v>999</v>
      </c>
      <c r="I76" s="2" t="inlineStr">
        <is>
          <t>3530</t>
        </is>
      </c>
      <c r="J76" s="4"/>
      <c r="K76" s="2">
        <v>31</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20000000",IF(NOT(ABS(IFERROR(VALUE(LEFT(M76,FIND("-",M76)-1)),M76)*100-(2500+2000000000)/2)&lt;=ABS(2500-2000000000)/2),"Цена со скидкой должна быть от 25 до 20000000",IF(IFERROR(VALUE(LEFT(M76,FIND("-",M76)-1)),M76)*220&lt;243569,"Вы уменьшили цену в несколько раз, товар попадет в карантин цен",IF(AND(IFERROR(VALUE(I76),0)=0,ISNUMBER(J76),OR(J76&lt;206,ABS(IFERROR(VALUE(LEFT(M76,FIND("-",M76)-1)),M76))*100&lt;20600)),"Проверьте цену товара. Большинство товаров в выбранной категории стоят дороже 206",""))))),"")</f>
      </c>
    </row>
    <row r="77">
      <c r="A77" s="2" t="inlineStr">
        <is>
          <t/>
        </is>
      </c>
      <c r="B77" s="2" t="inlineStr">
        <is>
          <t>Серьги</t>
        </is>
      </c>
      <c r="C77" s="2">
        <v>734549770</v>
      </c>
      <c r="D77" s="2" t="inlineStr">
        <is>
          <t>157</t>
        </is>
      </c>
      <c r="E77" s="2" t="inlineStr">
        <is>
          <t>2048129076382</t>
        </is>
      </c>
      <c r="F77" s="2">
        <v>6</v>
      </c>
      <c r="G77" s="2">
        <v>0</v>
      </c>
      <c r="H77" s="2">
        <v>187</v>
      </c>
      <c r="I77" s="2" t="inlineStr">
        <is>
          <t>3000</t>
        </is>
      </c>
      <c r="J77" s="4"/>
      <c r="K77" s="2">
        <v>32</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20000000",IF(NOT(ABS(IFERROR(VALUE(LEFT(M77,FIND("-",M77)-1)),M77)*100-(2500+2000000000)/2)&lt;=ABS(2500-2000000000)/2),"Цена со скидкой должна быть от 25 до 20000000",IF(IFERROR(VALUE(LEFT(M77,FIND("-",M77)-1)),M77)*220&lt;203999,"Вы уменьшили цену в несколько раз, товар попадет в карантин цен",IF(AND(IFERROR(VALUE(I77),0)=0,ISNUMBER(J77),OR(J77&lt;211,ABS(IFERROR(VALUE(LEFT(M77,FIND("-",M77)-1)),M77))*100&lt;21100)),"Проверьте цену товара. Большинство товаров в выбранной категории стоят дороже 211",""))))),"")</f>
      </c>
    </row>
    <row r="78">
      <c r="A78" s="2" t="inlineStr">
        <is>
          <t>Крымский Хан</t>
        </is>
      </c>
      <c r="B78" s="2" t="inlineStr">
        <is>
          <t>Подвески бижутерные</t>
        </is>
      </c>
      <c r="C78" s="2">
        <v>316655371</v>
      </c>
      <c r="D78" s="2" t="inlineStr">
        <is>
          <t>65</t>
        </is>
      </c>
      <c r="E78" s="2" t="inlineStr">
        <is>
          <t>2042575460849</t>
        </is>
      </c>
      <c r="F78" s="2">
        <v>2</v>
      </c>
      <c r="G78" s="2">
        <v>0</v>
      </c>
      <c r="H78" s="2">
        <v>999</v>
      </c>
      <c r="I78" s="2" t="inlineStr">
        <is>
          <t>1295</t>
        </is>
      </c>
      <c r="J78" s="4"/>
      <c r="K78" s="2">
        <v>30</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20000000",IF(NOT(ABS(IFERROR(VALUE(LEFT(M78,FIND("-",M78)-1)),M78)*100-(2500+2000000000)/2)&lt;=ABS(2500-2000000000)/2),"Цена со скидкой должна быть от 25 до 20000000",IF(IFERROR(VALUE(LEFT(M78,FIND("-",M78)-1)),M78)*220&lt;90649,"Вы уменьшили цену в несколько раз, товар попадет в карантин цен",IF(AND(IFERROR(VALUE(I78),0)=0,ISNUMBER(J78),OR(J78&lt;214,ABS(IFERROR(VALUE(LEFT(M78,FIND("-",M78)-1)),M78))*100&lt;21400)),"Проверьте цену товара. Большинство товаров в выбранной категории стоят дороже 214",""))))),"")</f>
      </c>
    </row>
    <row r="79">
      <c r="A79" s="2" t="inlineStr">
        <is>
          <t>Крымский Хан</t>
        </is>
      </c>
      <c r="B79" s="2" t="inlineStr">
        <is>
          <t>Серьги</t>
        </is>
      </c>
      <c r="C79" s="2">
        <v>268147390</v>
      </c>
      <c r="D79" s="2" t="inlineStr">
        <is>
          <t>серьги 28</t>
        </is>
      </c>
      <c r="E79" s="2" t="inlineStr">
        <is>
          <t>2041388839927</t>
        </is>
      </c>
      <c r="F79" s="2">
        <v>16</v>
      </c>
      <c r="G79" s="2">
        <v>0</v>
      </c>
      <c r="H79" s="2">
        <v>132</v>
      </c>
      <c r="I79" s="2" t="inlineStr">
        <is>
          <t>3177</t>
        </is>
      </c>
      <c r="J79" s="4"/>
      <c r="K79" s="2">
        <v>41</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20000000",IF(NOT(ABS(IFERROR(VALUE(LEFT(M79,FIND("-",M79)-1)),M79)*100-(2500+2000000000)/2)&lt;=ABS(2500-2000000000)/2),"Цена со скидкой должна быть от 25 до 20000000",IF(IFERROR(VALUE(LEFT(M79,FIND("-",M79)-1)),M79)*220&lt;187443,"Вы уменьшили цену в несколько раз, товар попадет в карантин цен",IF(AND(IFERROR(VALUE(I79),0)=0,ISNUMBER(J79),OR(J79&lt;211,ABS(IFERROR(VALUE(LEFT(M79,FIND("-",M79)-1)),M79))*100&lt;21100)),"Проверьте цену товара. Большинство товаров в выбранной категории стоят дороже 211",""))))),"")</f>
      </c>
    </row>
    <row r="80">
      <c r="A80" s="2" t="inlineStr">
        <is>
          <t>Крымский Хан</t>
        </is>
      </c>
      <c r="B80" s="2" t="inlineStr">
        <is>
          <t>Брелоки</t>
        </is>
      </c>
      <c r="C80" s="2">
        <v>197491727</v>
      </c>
      <c r="D80" s="2" t="inlineStr">
        <is>
          <t>Твоя семья</t>
        </is>
      </c>
      <c r="E80" s="2" t="inlineStr">
        <is>
          <t>2039214772685</t>
        </is>
      </c>
      <c r="F80" s="2">
        <v>16</v>
      </c>
      <c r="G80" s="2">
        <v>0</v>
      </c>
      <c r="H80" s="2">
        <v>999</v>
      </c>
      <c r="I80" s="2" t="inlineStr">
        <is>
          <t>1000</t>
        </is>
      </c>
      <c r="J80" s="4"/>
      <c r="K80" s="2">
        <v>31</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20000000",IF(NOT(ABS(IFERROR(VALUE(LEFT(M80,FIND("-",M80)-1)),M80)*100-(2500+2000000000)/2)&lt;=ABS(2500-2000000000)/2),"Цена со скидкой должна быть от 25 до 20000000",IF(IFERROR(VALUE(LEFT(M80,FIND("-",M80)-1)),M80)*220&lt;69000,"Вы уменьшили цену в несколько раз, товар попадет в карантин цен",IF(AND(IFERROR(VALUE(I80),0)=0,ISNUMBER(J80),OR(J80&lt;198,ABS(IFERROR(VALUE(LEFT(M80,FIND("-",M80)-1)),M80))*100&lt;19800)),"Проверьте цену товара. Большинство товаров в выбранной категории стоят дороже 198",""))))),"")</f>
      </c>
    </row>
    <row r="81">
      <c r="A81" s="2" t="inlineStr">
        <is>
          <t>Крымский Хан</t>
        </is>
      </c>
      <c r="B81" s="2" t="inlineStr">
        <is>
          <t>Подвески бижутерные</t>
        </is>
      </c>
      <c r="C81" s="2">
        <v>316655365</v>
      </c>
      <c r="D81" s="2" t="inlineStr">
        <is>
          <t>60</t>
        </is>
      </c>
      <c r="E81" s="2" t="inlineStr">
        <is>
          <t>2042575460795</t>
        </is>
      </c>
      <c r="F81" s="2">
        <v>5</v>
      </c>
      <c r="G81" s="2">
        <v>0</v>
      </c>
      <c r="H81" s="2">
        <v>999</v>
      </c>
      <c r="I81" s="2" t="inlineStr">
        <is>
          <t>1295</t>
        </is>
      </c>
      <c r="J81" s="4"/>
      <c r="K81" s="2">
        <v>43</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20000000",IF(NOT(ABS(IFERROR(VALUE(LEFT(M81,FIND("-",M81)-1)),M81)*100-(2500+2000000000)/2)&lt;=ABS(2500-2000000000)/2),"Цена со скидкой должна быть от 25 до 20000000",IF(IFERROR(VALUE(LEFT(M81,FIND("-",M81)-1)),M81)*220&lt;73815,"Вы уменьшили цену в несколько раз, товар попадет в карантин цен",IF(AND(IFERROR(VALUE(I81),0)=0,ISNUMBER(J81),OR(J81&lt;214,ABS(IFERROR(VALUE(LEFT(M81,FIND("-",M81)-1)),M81))*100&lt;21400)),"Проверьте цену товара. Большинство товаров в выбранной категории стоят дороже 214",""))))),"")</f>
      </c>
    </row>
    <row r="82">
      <c r="A82" s="2" t="inlineStr">
        <is>
          <t/>
        </is>
      </c>
      <c r="B82" s="2" t="inlineStr">
        <is>
          <t>Кольца</t>
        </is>
      </c>
      <c r="C82" s="2">
        <v>734605453</v>
      </c>
      <c r="D82" s="2" t="inlineStr">
        <is>
          <t>133</t>
        </is>
      </c>
      <c r="E82" s="2" t="inlineStr">
        <is>
          <t>2048129756185</t>
        </is>
      </c>
      <c r="F82" s="2" t="inlineStr">
        <is>
          <t/>
        </is>
      </c>
      <c r="G82" s="2" t="inlineStr">
        <is>
          <t/>
        </is>
      </c>
      <c r="H82" s="2" t="inlineStr">
        <is>
          <t/>
        </is>
      </c>
      <c r="I82" s="2" t="inlineStr">
        <is>
          <t>0</t>
        </is>
      </c>
      <c r="J82" s="4"/>
      <c r="K82" s="2">
        <v>0</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20000000",IF(NOT(ABS(IFERROR(VALUE(LEFT(M82,FIND("-",M82)-1)),M82)*100-(2500+2000000000)/2)&lt;=ABS(2500-2000000000)/2),"Цена со скидкой должна быть от 25 до 20000000",IF(IFERROR(VALUE(LEFT(M82,FIND("-",M82)-1)),M82)*220&lt;0,"Вы уменьшили цену в несколько раз, товар попадет в карантин цен",IF(AND(IFERROR(VALUE(I82),0)=0,ISNUMBER(J82),OR(J82&lt;248,ABS(IFERROR(VALUE(LEFT(M82,FIND("-",M82)-1)),M82))*100&lt;24800)),"Проверьте цену товара. Большинство товаров в выбранной категории стоят дороже 248",""))))),"")</f>
      </c>
    </row>
    <row r="83">
      <c r="A83" s="2" t="inlineStr">
        <is>
          <t>Крымский Хан</t>
        </is>
      </c>
      <c r="B83" s="2" t="inlineStr">
        <is>
          <t>Серьги</t>
        </is>
      </c>
      <c r="C83" s="2">
        <v>316654391</v>
      </c>
      <c r="D83" s="2" t="inlineStr">
        <is>
          <t>94</t>
        </is>
      </c>
      <c r="E83" s="2" t="inlineStr">
        <is>
          <t>2042574981499</t>
        </is>
      </c>
      <c r="F83" s="2">
        <v>2</v>
      </c>
      <c r="G83" s="2">
        <v>7</v>
      </c>
      <c r="H83" s="2">
        <v>999</v>
      </c>
      <c r="I83" s="2" t="inlineStr">
        <is>
          <t>2942</t>
        </is>
      </c>
      <c r="J83" s="4"/>
      <c r="K83" s="2">
        <v>41</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20000000",IF(NOT(ABS(IFERROR(VALUE(LEFT(M83,FIND("-",M83)-1)),M83)*100-(2500+2000000000)/2)&lt;=ABS(2500-2000000000)/2),"Цена со скидкой должна быть от 25 до 20000000",IF(IFERROR(VALUE(LEFT(M83,FIND("-",M83)-1)),M83)*220&lt;173578,"Вы уменьшили цену в несколько раз, товар попадет в карантин цен",IF(AND(IFERROR(VALUE(I83),0)=0,ISNUMBER(J83),OR(J83&lt;211,ABS(IFERROR(VALUE(LEFT(M83,FIND("-",M83)-1)),M83))*100&lt;21100)),"Проверьте цену товара. Большинство товаров в выбранной категории стоят дороже 211",""))))),"")</f>
      </c>
    </row>
    <row r="84">
      <c r="A84" s="2" t="inlineStr">
        <is>
          <t>Крымский Хан</t>
        </is>
      </c>
      <c r="B84" s="2" t="inlineStr">
        <is>
          <t>Подвески бижутерные</t>
        </is>
      </c>
      <c r="C84" s="2">
        <v>316655361</v>
      </c>
      <c r="D84" s="2" t="inlineStr">
        <is>
          <t>57</t>
        </is>
      </c>
      <c r="E84" s="2" t="inlineStr">
        <is>
          <t>2042575460757</t>
        </is>
      </c>
      <c r="F84" s="2">
        <v>14</v>
      </c>
      <c r="G84" s="2">
        <v>0</v>
      </c>
      <c r="H84" s="2">
        <v>999</v>
      </c>
      <c r="I84" s="2" t="inlineStr">
        <is>
          <t>1295</t>
        </is>
      </c>
      <c r="J84" s="4"/>
      <c r="K84" s="2">
        <v>30</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20000000",IF(NOT(ABS(IFERROR(VALUE(LEFT(M84,FIND("-",M84)-1)),M84)*100-(2500+2000000000)/2)&lt;=ABS(2500-2000000000)/2),"Цена со скидкой должна быть от 25 до 20000000",IF(IFERROR(VALUE(LEFT(M84,FIND("-",M84)-1)),M84)*220&lt;90649,"Вы уменьшили цену в несколько раз, товар попадет в карантин цен",IF(AND(IFERROR(VALUE(I84),0)=0,ISNUMBER(J84),OR(J84&lt;214,ABS(IFERROR(VALUE(LEFT(M84,FIND("-",M84)-1)),M84))*100&lt;21400)),"Проверьте цену товара. Большинство товаров в выбранной категории стоят дороже 214",""))))),"")</f>
      </c>
    </row>
    <row r="85">
      <c r="A85" s="2" t="inlineStr">
        <is>
          <t/>
        </is>
      </c>
      <c r="B85" s="2" t="inlineStr">
        <is>
          <t>Кольца</t>
        </is>
      </c>
      <c r="C85" s="2">
        <v>734605449</v>
      </c>
      <c r="D85" s="2" t="inlineStr">
        <is>
          <t>129</t>
        </is>
      </c>
      <c r="E85" s="2" t="inlineStr">
        <is>
          <t>2048129756079</t>
        </is>
      </c>
      <c r="F85" s="2">
        <v>20</v>
      </c>
      <c r="G85" s="2">
        <v>0</v>
      </c>
      <c r="H85" s="2">
        <v>999</v>
      </c>
      <c r="I85" s="2" t="inlineStr">
        <is>
          <t>0</t>
        </is>
      </c>
      <c r="J85" s="4"/>
      <c r="K85" s="2">
        <v>0</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20000000",IF(NOT(ABS(IFERROR(VALUE(LEFT(M85,FIND("-",M85)-1)),M85)*100-(2500+2000000000)/2)&lt;=ABS(2500-2000000000)/2),"Цена со скидкой должна быть от 25 до 20000000",IF(IFERROR(VALUE(LEFT(M85,FIND("-",M85)-1)),M85)*220&lt;0,"Вы уменьшили цену в несколько раз, товар попадет в карантин цен",IF(AND(IFERROR(VALUE(I85),0)=0,ISNUMBER(J85),OR(J85&lt;248,ABS(IFERROR(VALUE(LEFT(M85,FIND("-",M85)-1)),M85))*100&lt;24800)),"Проверьте цену товара. Большинство товаров в выбранной категории стоят дороже 248",""))))),"")</f>
      </c>
    </row>
    <row r="86">
      <c r="A86" s="2" t="inlineStr">
        <is>
          <t/>
        </is>
      </c>
      <c r="B86" s="2" t="inlineStr">
        <is>
          <t>Кольца</t>
        </is>
      </c>
      <c r="C86" s="2">
        <v>734605455</v>
      </c>
      <c r="D86" s="2" t="inlineStr">
        <is>
          <t>135</t>
        </is>
      </c>
      <c r="E86" s="2" t="inlineStr">
        <is>
          <t>2048129756246</t>
        </is>
      </c>
      <c r="F86" s="2" t="inlineStr">
        <is>
          <t/>
        </is>
      </c>
      <c r="G86" s="2" t="inlineStr">
        <is>
          <t/>
        </is>
      </c>
      <c r="H86" s="2" t="inlineStr">
        <is>
          <t/>
        </is>
      </c>
      <c r="I86" s="2" t="inlineStr">
        <is>
          <t>0</t>
        </is>
      </c>
      <c r="J86" s="4"/>
      <c r="K86" s="2">
        <v>0</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20000000",IF(NOT(ABS(IFERROR(VALUE(LEFT(M86,FIND("-",M86)-1)),M86)*100-(2500+2000000000)/2)&lt;=ABS(2500-2000000000)/2),"Цена со скидкой должна быть от 25 до 20000000",IF(IFERROR(VALUE(LEFT(M86,FIND("-",M86)-1)),M86)*220&lt;0,"Вы уменьшили цену в несколько раз, товар попадет в карантин цен",IF(AND(IFERROR(VALUE(I86),0)=0,ISNUMBER(J86),OR(J86&lt;248,ABS(IFERROR(VALUE(LEFT(M86,FIND("-",M86)-1)),M86))*100&lt;24800)),"Проверьте цену товара. Большинство товаров в выбранной категории стоят дороже 248",""))))),"")</f>
      </c>
    </row>
    <row r="87">
      <c r="A87" s="2" t="inlineStr">
        <is>
          <t/>
        </is>
      </c>
      <c r="B87" s="2" t="inlineStr">
        <is>
          <t>Кольца</t>
        </is>
      </c>
      <c r="C87" s="2">
        <v>734605442</v>
      </c>
      <c r="D87" s="2" t="inlineStr">
        <is>
          <t>122</t>
        </is>
      </c>
      <c r="E87" s="2" t="inlineStr">
        <is>
          <t>2048129755867</t>
        </is>
      </c>
      <c r="F87" s="2">
        <v>19</v>
      </c>
      <c r="G87" s="2">
        <v>0</v>
      </c>
      <c r="H87" s="2">
        <v>999</v>
      </c>
      <c r="I87" s="2" t="inlineStr">
        <is>
          <t>0</t>
        </is>
      </c>
      <c r="J87" s="4"/>
      <c r="K87" s="2">
        <v>0</v>
      </c>
      <c r="L87" s="6"/>
      <c r="M87" s="2" t="str">
        <f>IF(J87="",ROUND(I87*(1-IF(ISBLANK(L87),K87,L87)/100),2),ROUND(J87*(1-IF(ISBLANK(L87),K87,L87)/100),2))</f>
      </c>
      <c r="N87" s="7" t="str">
        <f>IF(NOT(AND(J87="",L87="")),IF(OR(AND(L87&lt;&gt;"",NOT(ISNUMBER(L87))),IFERROR(MOD(L87,1),1)&gt;0,AND(ISNUMBER(L87),OR(L87&lt;0,L87&gt;95))),"Введите целое число от 0 до 95",IF(OR(AND(J87&lt;&gt;"",NOT(ISNUMBER(J87))),IFERROR(MOD(J87,1),1)&gt;0,AND(ISNUMBER(J87),OR(J87&lt;50,J87&gt;20000000))),"Введите целое число от 50 до 20000000",IF(NOT(ABS(IFERROR(VALUE(LEFT(M87,FIND("-",M87)-1)),M87)*100-(2500+2000000000)/2)&lt;=ABS(2500-2000000000)/2),"Цена со скидкой должна быть от 25 до 20000000",IF(IFERROR(VALUE(LEFT(M87,FIND("-",M87)-1)),M87)*220&lt;0,"Вы уменьшили цену в несколько раз, товар попадет в карантин цен",IF(AND(IFERROR(VALUE(I87),0)=0,ISNUMBER(J87),OR(J87&lt;248,ABS(IFERROR(VALUE(LEFT(M87,FIND("-",M87)-1)),M87))*100&lt;24800)),"Проверьте цену товара. Большинство товаров в выбранной категории стоят дороже 248",""))))),"")</f>
      </c>
    </row>
    <row r="88">
      <c r="A88" s="2" t="inlineStr">
        <is>
          <t/>
        </is>
      </c>
      <c r="B88" s="2" t="inlineStr">
        <is>
          <t>Кольца</t>
        </is>
      </c>
      <c r="C88" s="2">
        <v>734605458</v>
      </c>
      <c r="D88" s="2" t="inlineStr">
        <is>
          <t>137</t>
        </is>
      </c>
      <c r="E88" s="2" t="inlineStr">
        <is>
          <t>2048129756352</t>
        </is>
      </c>
      <c r="F88" s="2" t="inlineStr">
        <is>
          <t/>
        </is>
      </c>
      <c r="G88" s="2" t="inlineStr">
        <is>
          <t/>
        </is>
      </c>
      <c r="H88" s="2" t="inlineStr">
        <is>
          <t/>
        </is>
      </c>
      <c r="I88" s="2" t="inlineStr">
        <is>
          <t>0</t>
        </is>
      </c>
      <c r="J88" s="4"/>
      <c r="K88" s="2">
        <v>0</v>
      </c>
      <c r="L88" s="6"/>
      <c r="M88" s="2" t="str">
        <f>IF(J88="",ROUND(I88*(1-IF(ISBLANK(L88),K88,L88)/100),2),ROUND(J88*(1-IF(ISBLANK(L88),K88,L88)/100),2))</f>
      </c>
      <c r="N88" s="7" t="str">
        <f>IF(NOT(AND(J88="",L88="")),IF(OR(AND(L88&lt;&gt;"",NOT(ISNUMBER(L88))),IFERROR(MOD(L88,1),1)&gt;0,AND(ISNUMBER(L88),OR(L88&lt;0,L88&gt;95))),"Введите целое число от 0 до 95",IF(OR(AND(J88&lt;&gt;"",NOT(ISNUMBER(J88))),IFERROR(MOD(J88,1),1)&gt;0,AND(ISNUMBER(J88),OR(J88&lt;50,J88&gt;20000000))),"Введите целое число от 50 до 20000000",IF(NOT(ABS(IFERROR(VALUE(LEFT(M88,FIND("-",M88)-1)),M88)*100-(2500+2000000000)/2)&lt;=ABS(2500-2000000000)/2),"Цена со скидкой должна быть от 25 до 20000000",IF(IFERROR(VALUE(LEFT(M88,FIND("-",M88)-1)),M88)*220&lt;0,"Вы уменьшили цену в несколько раз, товар попадет в карантин цен",IF(AND(IFERROR(VALUE(I88),0)=0,ISNUMBER(J88),OR(J88&lt;248,ABS(IFERROR(VALUE(LEFT(M88,FIND("-",M88)-1)),M88))*100&lt;24800)),"Проверьте цену товара. Большинство товаров в выбранной категории стоят дороже 248",""))))),"")</f>
      </c>
    </row>
    <row r="89">
      <c r="A89" s="2" t="inlineStr">
        <is>
          <t/>
        </is>
      </c>
      <c r="B89" s="2" t="inlineStr">
        <is>
          <t>Кольца</t>
        </is>
      </c>
      <c r="C89" s="2">
        <v>734605467</v>
      </c>
      <c r="D89" s="2" t="inlineStr">
        <is>
          <t>146</t>
        </is>
      </c>
      <c r="E89" s="2" t="inlineStr">
        <is>
          <t>2048129756628</t>
        </is>
      </c>
      <c r="F89" s="2" t="inlineStr">
        <is>
          <t/>
        </is>
      </c>
      <c r="G89" s="2" t="inlineStr">
        <is>
          <t/>
        </is>
      </c>
      <c r="H89" s="2" t="inlineStr">
        <is>
          <t/>
        </is>
      </c>
      <c r="I89" s="2" t="inlineStr">
        <is>
          <t>0</t>
        </is>
      </c>
      <c r="J89" s="4"/>
      <c r="K89" s="2">
        <v>0</v>
      </c>
      <c r="L89" s="6"/>
      <c r="M89" s="2" t="str">
        <f>IF(J89="",ROUND(I89*(1-IF(ISBLANK(L89),K89,L89)/100),2),ROUND(J89*(1-IF(ISBLANK(L89),K89,L89)/100),2))</f>
      </c>
      <c r="N89" s="7" t="str">
        <f>IF(NOT(AND(J89="",L89="")),IF(OR(AND(L89&lt;&gt;"",NOT(ISNUMBER(L89))),IFERROR(MOD(L89,1),1)&gt;0,AND(ISNUMBER(L89),OR(L89&lt;0,L89&gt;95))),"Введите целое число от 0 до 95",IF(OR(AND(J89&lt;&gt;"",NOT(ISNUMBER(J89))),IFERROR(MOD(J89,1),1)&gt;0,AND(ISNUMBER(J89),OR(J89&lt;50,J89&gt;20000000))),"Введите целое число от 50 до 20000000",IF(NOT(ABS(IFERROR(VALUE(LEFT(M89,FIND("-",M89)-1)),M89)*100-(2500+2000000000)/2)&lt;=ABS(2500-2000000000)/2),"Цена со скидкой должна быть от 25 до 20000000",IF(IFERROR(VALUE(LEFT(M89,FIND("-",M89)-1)),M89)*220&lt;0,"Вы уменьшили цену в несколько раз, товар попадет в карантин цен",IF(AND(IFERROR(VALUE(I89),0)=0,ISNUMBER(J89),OR(J89&lt;248,ABS(IFERROR(VALUE(LEFT(M89,FIND("-",M89)-1)),M89))*100&lt;24800)),"Проверьте цену товара. Большинство товаров в выбранной категории стоят дороже 248",""))))),"")</f>
      </c>
    </row>
    <row r="90">
      <c r="A90" s="2" t="inlineStr">
        <is>
          <t>Крымский Хан</t>
        </is>
      </c>
      <c r="B90" s="2" t="inlineStr">
        <is>
          <t>Серьги</t>
        </is>
      </c>
      <c r="C90" s="2">
        <v>268147388</v>
      </c>
      <c r="D90" s="2" t="inlineStr">
        <is>
          <t>серьги 26</t>
        </is>
      </c>
      <c r="E90" s="2" t="inlineStr">
        <is>
          <t>2041388839903</t>
        </is>
      </c>
      <c r="F90" s="2">
        <v>37</v>
      </c>
      <c r="G90" s="2">
        <v>0</v>
      </c>
      <c r="H90" s="2">
        <v>999</v>
      </c>
      <c r="I90" s="2" t="inlineStr">
        <is>
          <t>3177</t>
        </is>
      </c>
      <c r="J90" s="4"/>
      <c r="K90" s="2">
        <v>48</v>
      </c>
      <c r="L90" s="6"/>
      <c r="M90" s="2" t="str">
        <f>IF(J90="",ROUND(I90*(1-IF(ISBLANK(L90),K90,L90)/100),2),ROUND(J90*(1-IF(ISBLANK(L90),K90,L90)/100),2))</f>
      </c>
      <c r="N90" s="7" t="str">
        <f>IF(NOT(AND(J90="",L90="")),IF(OR(AND(L90&lt;&gt;"",NOT(ISNUMBER(L90))),IFERROR(MOD(L90,1),1)&gt;0,AND(ISNUMBER(L90),OR(L90&lt;0,L90&gt;95))),"Введите целое число от 0 до 95",IF(OR(AND(J90&lt;&gt;"",NOT(ISNUMBER(J90))),IFERROR(MOD(J90,1),1)&gt;0,AND(ISNUMBER(J90),OR(J90&lt;50,J90&gt;20000000))),"Введите целое число от 50 до 20000000",IF(NOT(ABS(IFERROR(VALUE(LEFT(M90,FIND("-",M90)-1)),M90)*100-(2500+2000000000)/2)&lt;=ABS(2500-2000000000)/2),"Цена со скидкой должна быть от 25 до 20000000",IF(IFERROR(VALUE(LEFT(M90,FIND("-",M90)-1)),M90)*220&lt;165204,"Вы уменьшили цену в несколько раз, товар попадет в карантин цен",IF(AND(IFERROR(VALUE(I90),0)=0,ISNUMBER(J90),OR(J90&lt;211,ABS(IFERROR(VALUE(LEFT(M90,FIND("-",M90)-1)),M90))*100&lt;21100)),"Проверьте цену товара. Большинство товаров в выбранной категории стоят дороже 211",""))))),"")</f>
      </c>
    </row>
    <row r="91">
      <c r="A91" s="2" t="inlineStr">
        <is>
          <t>Крымский Хан</t>
        </is>
      </c>
      <c r="B91" s="2" t="inlineStr">
        <is>
          <t>Серьги</t>
        </is>
      </c>
      <c r="C91" s="2">
        <v>316654412</v>
      </c>
      <c r="D91" s="2" t="inlineStr">
        <is>
          <t>107</t>
        </is>
      </c>
      <c r="E91" s="2" t="inlineStr">
        <is>
          <t>2042574981680</t>
        </is>
      </c>
      <c r="F91" s="2">
        <v>0</v>
      </c>
      <c r="G91" s="2">
        <v>0</v>
      </c>
      <c r="H91" s="2">
        <v>21</v>
      </c>
      <c r="I91" s="2" t="inlineStr">
        <is>
          <t>2942</t>
        </is>
      </c>
      <c r="J91" s="4"/>
      <c r="K91" s="2">
        <v>47</v>
      </c>
      <c r="L91" s="6"/>
      <c r="M91" s="2" t="str">
        <f>IF(J91="",ROUND(I91*(1-IF(ISBLANK(L91),K91,L91)/100),2),ROUND(J91*(1-IF(ISBLANK(L91),K91,L91)/100),2))</f>
      </c>
      <c r="N91" s="7" t="str">
        <f>IF(NOT(AND(J91="",L91="")),IF(OR(AND(L91&lt;&gt;"",NOT(ISNUMBER(L91))),IFERROR(MOD(L91,1),1)&gt;0,AND(ISNUMBER(L91),OR(L91&lt;0,L91&gt;95))),"Введите целое число от 0 до 95",IF(OR(AND(J91&lt;&gt;"",NOT(ISNUMBER(J91))),IFERROR(MOD(J91,1),1)&gt;0,AND(ISNUMBER(J91),OR(J91&lt;50,J91&gt;20000000))),"Введите целое число от 50 до 20000000",IF(NOT(ABS(IFERROR(VALUE(LEFT(M91,FIND("-",M91)-1)),M91)*100-(2500+2000000000)/2)&lt;=ABS(2500-2000000000)/2),"Цена со скидкой должна быть от 25 до 20000000",IF(IFERROR(VALUE(LEFT(M91,FIND("-",M91)-1)),M91)*220&lt;155926,"Вы уменьшили цену в несколько раз, товар попадет в карантин цен",IF(AND(IFERROR(VALUE(I91),0)=0,ISNUMBER(J91),OR(J91&lt;211,ABS(IFERROR(VALUE(LEFT(M91,FIND("-",M91)-1)),M91))*100&lt;21100)),"Проверьте цену товара. Большинство товаров в выбранной категории стоят дороже 211",""))))),"")</f>
      </c>
    </row>
    <row r="92">
      <c r="A92" s="2" t="inlineStr">
        <is>
          <t>Крымский Хан</t>
        </is>
      </c>
      <c r="B92" s="2" t="inlineStr">
        <is>
          <t>Серьги</t>
        </is>
      </c>
      <c r="C92" s="2">
        <v>268147406</v>
      </c>
      <c r="D92" s="2" t="inlineStr">
        <is>
          <t>серьги 44</t>
        </is>
      </c>
      <c r="E92" s="2" t="inlineStr">
        <is>
          <t>2041388840084</t>
        </is>
      </c>
      <c r="F92" s="2">
        <v>10</v>
      </c>
      <c r="G92" s="2">
        <v>6</v>
      </c>
      <c r="H92" s="2">
        <v>999</v>
      </c>
      <c r="I92" s="2" t="inlineStr">
        <is>
          <t>3177</t>
        </is>
      </c>
      <c r="J92" s="4"/>
      <c r="K92" s="2">
        <v>39</v>
      </c>
      <c r="L92" s="6"/>
      <c r="M92" s="2" t="str">
        <f>IF(J92="",ROUND(I92*(1-IF(ISBLANK(L92),K92,L92)/100),2),ROUND(J92*(1-IF(ISBLANK(L92),K92,L92)/100),2))</f>
      </c>
      <c r="N92" s="7" t="str">
        <f>IF(NOT(AND(J92="",L92="")),IF(OR(AND(L92&lt;&gt;"",NOT(ISNUMBER(L92))),IFERROR(MOD(L92,1),1)&gt;0,AND(ISNUMBER(L92),OR(L92&lt;0,L92&gt;95))),"Введите целое число от 0 до 95",IF(OR(AND(J92&lt;&gt;"",NOT(ISNUMBER(J92))),IFERROR(MOD(J92,1),1)&gt;0,AND(ISNUMBER(J92),OR(J92&lt;50,J92&gt;20000000))),"Введите целое число от 50 до 20000000",IF(NOT(ABS(IFERROR(VALUE(LEFT(M92,FIND("-",M92)-1)),M92)*100-(2500+2000000000)/2)&lt;=ABS(2500-2000000000)/2),"Цена со скидкой должна быть от 25 до 20000000",IF(IFERROR(VALUE(LEFT(M92,FIND("-",M92)-1)),M92)*220&lt;193797,"Вы уменьшили цену в несколько раз, товар попадет в карантин цен",IF(AND(IFERROR(VALUE(I92),0)=0,ISNUMBER(J92),OR(J92&lt;211,ABS(IFERROR(VALUE(LEFT(M92,FIND("-",M92)-1)),M92))*100&lt;21100)),"Проверьте цену товара. Большинство товаров в выбранной категории стоят дороже 211",""))))),"")</f>
      </c>
    </row>
    <row r="93">
      <c r="A93" s="2" t="inlineStr">
        <is>
          <t>Крымский Хан</t>
        </is>
      </c>
      <c r="B93" s="2" t="inlineStr">
        <is>
          <t>Серьги</t>
        </is>
      </c>
      <c r="C93" s="2">
        <v>268147385</v>
      </c>
      <c r="D93" s="2" t="inlineStr">
        <is>
          <t>серьги 23</t>
        </is>
      </c>
      <c r="E93" s="2" t="inlineStr">
        <is>
          <t>2041388839873</t>
        </is>
      </c>
      <c r="F93" s="2">
        <v>16</v>
      </c>
      <c r="G93" s="2">
        <v>0</v>
      </c>
      <c r="H93" s="2">
        <v>259</v>
      </c>
      <c r="I93" s="2" t="inlineStr">
        <is>
          <t>3177</t>
        </is>
      </c>
      <c r="J93" s="4"/>
      <c r="K93" s="2">
        <v>45</v>
      </c>
      <c r="L93" s="6"/>
      <c r="M93" s="2" t="str">
        <f>IF(J93="",ROUND(I93*(1-IF(ISBLANK(L93),K93,L93)/100),2),ROUND(J93*(1-IF(ISBLANK(L93),K93,L93)/100),2))</f>
      </c>
      <c r="N93" s="7" t="str">
        <f>IF(NOT(AND(J93="",L93="")),IF(OR(AND(L93&lt;&gt;"",NOT(ISNUMBER(L93))),IFERROR(MOD(L93,1),1)&gt;0,AND(ISNUMBER(L93),OR(L93&lt;0,L93&gt;95))),"Введите целое число от 0 до 95",IF(OR(AND(J93&lt;&gt;"",NOT(ISNUMBER(J93))),IFERROR(MOD(J93,1),1)&gt;0,AND(ISNUMBER(J93),OR(J93&lt;50,J93&gt;20000000))),"Введите целое число от 50 до 20000000",IF(NOT(ABS(IFERROR(VALUE(LEFT(M93,FIND("-",M93)-1)),M93)*100-(2500+2000000000)/2)&lt;=ABS(2500-2000000000)/2),"Цена со скидкой должна быть от 25 до 20000000",IF(IFERROR(VALUE(LEFT(M93,FIND("-",M93)-1)),M93)*220&lt;174735,"Вы уменьшили цену в несколько раз, товар попадет в карантин цен",IF(AND(IFERROR(VALUE(I93),0)=0,ISNUMBER(J93),OR(J93&lt;211,ABS(IFERROR(VALUE(LEFT(M93,FIND("-",M93)-1)),M93))*100&lt;21100)),"Проверьте цену товара. Большинство товаров в выбранной категории стоят дороже 211",""))))),"")</f>
      </c>
    </row>
    <row r="94">
      <c r="A94" s="2" t="inlineStr">
        <is>
          <t>Крымский Хан</t>
        </is>
      </c>
      <c r="B94" s="2" t="inlineStr">
        <is>
          <t>Серьги</t>
        </is>
      </c>
      <c r="C94" s="2">
        <v>316654399</v>
      </c>
      <c r="D94" s="2" t="inlineStr">
        <is>
          <t>96</t>
        </is>
      </c>
      <c r="E94" s="2" t="inlineStr">
        <is>
          <t>2042574981574</t>
        </is>
      </c>
      <c r="F94" s="2">
        <v>46</v>
      </c>
      <c r="G94" s="2">
        <v>0</v>
      </c>
      <c r="H94" s="2">
        <v>23</v>
      </c>
      <c r="I94" s="2" t="inlineStr">
        <is>
          <t>2942</t>
        </is>
      </c>
      <c r="J94" s="4"/>
      <c r="K94" s="2">
        <v>35</v>
      </c>
      <c r="L94" s="6"/>
      <c r="M94" s="2" t="str">
        <f>IF(J94="",ROUND(I94*(1-IF(ISBLANK(L94),K94,L94)/100),2),ROUND(J94*(1-IF(ISBLANK(L94),K94,L94)/100),2))</f>
      </c>
      <c r="N94" s="7" t="str">
        <f>IF(NOT(AND(J94="",L94="")),IF(OR(AND(L94&lt;&gt;"",NOT(ISNUMBER(L94))),IFERROR(MOD(L94,1),1)&gt;0,AND(ISNUMBER(L94),OR(L94&lt;0,L94&gt;95))),"Введите целое число от 0 до 95",IF(OR(AND(J94&lt;&gt;"",NOT(ISNUMBER(J94))),IFERROR(MOD(J94,1),1)&gt;0,AND(ISNUMBER(J94),OR(J94&lt;50,J94&gt;20000000))),"Введите целое число от 50 до 20000000",IF(NOT(ABS(IFERROR(VALUE(LEFT(M94,FIND("-",M94)-1)),M94)*100-(2500+2000000000)/2)&lt;=ABS(2500-2000000000)/2),"Цена со скидкой должна быть от 25 до 20000000",IF(IFERROR(VALUE(LEFT(M94,FIND("-",M94)-1)),M94)*220&lt;191230,"Вы уменьшили цену в несколько раз, товар попадет в карантин цен",IF(AND(IFERROR(VALUE(I94),0)=0,ISNUMBER(J94),OR(J94&lt;211,ABS(IFERROR(VALUE(LEFT(M94,FIND("-",M94)-1)),M94))*100&lt;21100)),"Проверьте цену товара. Большинство товаров в выбранной категории стоят дороже 211",""))))),"")</f>
      </c>
    </row>
    <row r="95">
      <c r="A95" s="2" t="inlineStr">
        <is>
          <t/>
        </is>
      </c>
      <c r="B95" s="2" t="inlineStr">
        <is>
          <t>Кольца</t>
        </is>
      </c>
      <c r="C95" s="2">
        <v>734605465</v>
      </c>
      <c r="D95" s="2" t="inlineStr">
        <is>
          <t>144</t>
        </is>
      </c>
      <c r="E95" s="2" t="inlineStr">
        <is>
          <t>2048129756529</t>
        </is>
      </c>
      <c r="F95" s="2" t="inlineStr">
        <is>
          <t/>
        </is>
      </c>
      <c r="G95" s="2" t="inlineStr">
        <is>
          <t/>
        </is>
      </c>
      <c r="H95" s="2" t="inlineStr">
        <is>
          <t/>
        </is>
      </c>
      <c r="I95" s="2" t="inlineStr">
        <is>
          <t>0</t>
        </is>
      </c>
      <c r="J95" s="4"/>
      <c r="K95" s="2">
        <v>0</v>
      </c>
      <c r="L95" s="6"/>
      <c r="M95" s="2" t="str">
        <f>IF(J95="",ROUND(I95*(1-IF(ISBLANK(L95),K95,L95)/100),2),ROUND(J95*(1-IF(ISBLANK(L95),K95,L95)/100),2))</f>
      </c>
      <c r="N95" s="7" t="str">
        <f>IF(NOT(AND(J95="",L95="")),IF(OR(AND(L95&lt;&gt;"",NOT(ISNUMBER(L95))),IFERROR(MOD(L95,1),1)&gt;0,AND(ISNUMBER(L95),OR(L95&lt;0,L95&gt;95))),"Введите целое число от 0 до 95",IF(OR(AND(J95&lt;&gt;"",NOT(ISNUMBER(J95))),IFERROR(MOD(J95,1),1)&gt;0,AND(ISNUMBER(J95),OR(J95&lt;50,J95&gt;20000000))),"Введите целое число от 50 до 20000000",IF(NOT(ABS(IFERROR(VALUE(LEFT(M95,FIND("-",M95)-1)),M95)*100-(2500+2000000000)/2)&lt;=ABS(2500-2000000000)/2),"Цена со скидкой должна быть от 25 до 20000000",IF(IFERROR(VALUE(LEFT(M95,FIND("-",M95)-1)),M95)*220&lt;0,"Вы уменьшили цену в несколько раз, товар попадет в карантин цен",IF(AND(IFERROR(VALUE(I95),0)=0,ISNUMBER(J95),OR(J95&lt;248,ABS(IFERROR(VALUE(LEFT(M95,FIND("-",M95)-1)),M95))*100&lt;24800)),"Проверьте цену товара. Большинство товаров в выбранной категории стоят дороже 248",""))))),"")</f>
      </c>
    </row>
    <row r="96">
      <c r="A96" s="2" t="inlineStr">
        <is>
          <t/>
        </is>
      </c>
      <c r="B96" s="2" t="inlineStr">
        <is>
          <t>Кольца</t>
        </is>
      </c>
      <c r="C96" s="2">
        <v>734605466</v>
      </c>
      <c r="D96" s="2" t="inlineStr">
        <is>
          <t>145</t>
        </is>
      </c>
      <c r="E96" s="2" t="inlineStr">
        <is>
          <t>2048129756574</t>
        </is>
      </c>
      <c r="F96" s="2" t="inlineStr">
        <is>
          <t/>
        </is>
      </c>
      <c r="G96" s="2" t="inlineStr">
        <is>
          <t/>
        </is>
      </c>
      <c r="H96" s="2" t="inlineStr">
        <is>
          <t/>
        </is>
      </c>
      <c r="I96" s="2" t="inlineStr">
        <is>
          <t>0</t>
        </is>
      </c>
      <c r="J96" s="4"/>
      <c r="K96" s="2">
        <v>0</v>
      </c>
      <c r="L96" s="6"/>
      <c r="M96" s="2" t="str">
        <f>IF(J96="",ROUND(I96*(1-IF(ISBLANK(L96),K96,L96)/100),2),ROUND(J96*(1-IF(ISBLANK(L96),K96,L96)/100),2))</f>
      </c>
      <c r="N96" s="7" t="str">
        <f>IF(NOT(AND(J96="",L96="")),IF(OR(AND(L96&lt;&gt;"",NOT(ISNUMBER(L96))),IFERROR(MOD(L96,1),1)&gt;0,AND(ISNUMBER(L96),OR(L96&lt;0,L96&gt;95))),"Введите целое число от 0 до 95",IF(OR(AND(J96&lt;&gt;"",NOT(ISNUMBER(J96))),IFERROR(MOD(J96,1),1)&gt;0,AND(ISNUMBER(J96),OR(J96&lt;50,J96&gt;20000000))),"Введите целое число от 50 до 20000000",IF(NOT(ABS(IFERROR(VALUE(LEFT(M96,FIND("-",M96)-1)),M96)*100-(2500+2000000000)/2)&lt;=ABS(2500-2000000000)/2),"Цена со скидкой должна быть от 25 до 20000000",IF(IFERROR(VALUE(LEFT(M96,FIND("-",M96)-1)),M96)*220&lt;0,"Вы уменьшили цену в несколько раз, товар попадет в карантин цен",IF(AND(IFERROR(VALUE(I96),0)=0,ISNUMBER(J96),OR(J96&lt;248,ABS(IFERROR(VALUE(LEFT(M96,FIND("-",M96)-1)),M96))*100&lt;24800)),"Проверьте цену товара. Большинство товаров в выбранной категории стоят дороже 248",""))))),"")</f>
      </c>
    </row>
    <row r="97">
      <c r="A97" s="2" t="inlineStr">
        <is>
          <t/>
        </is>
      </c>
      <c r="B97" s="2" t="inlineStr">
        <is>
          <t>Кольца</t>
        </is>
      </c>
      <c r="C97" s="2">
        <v>734605463</v>
      </c>
      <c r="D97" s="2" t="inlineStr">
        <is>
          <t>142</t>
        </is>
      </c>
      <c r="E97" s="2" t="inlineStr">
        <is>
          <t>2048129756482</t>
        </is>
      </c>
      <c r="F97" s="2" t="inlineStr">
        <is>
          <t/>
        </is>
      </c>
      <c r="G97" s="2" t="inlineStr">
        <is>
          <t/>
        </is>
      </c>
      <c r="H97" s="2" t="inlineStr">
        <is>
          <t/>
        </is>
      </c>
      <c r="I97" s="2" t="inlineStr">
        <is>
          <t>0</t>
        </is>
      </c>
      <c r="J97" s="4"/>
      <c r="K97" s="2">
        <v>0</v>
      </c>
      <c r="L97" s="6"/>
      <c r="M97" s="2" t="str">
        <f>IF(J97="",ROUND(I97*(1-IF(ISBLANK(L97),K97,L97)/100),2),ROUND(J97*(1-IF(ISBLANK(L97),K97,L97)/100),2))</f>
      </c>
      <c r="N97" s="7" t="str">
        <f>IF(NOT(AND(J97="",L97="")),IF(OR(AND(L97&lt;&gt;"",NOT(ISNUMBER(L97))),IFERROR(MOD(L97,1),1)&gt;0,AND(ISNUMBER(L97),OR(L97&lt;0,L97&gt;95))),"Введите целое число от 0 до 95",IF(OR(AND(J97&lt;&gt;"",NOT(ISNUMBER(J97))),IFERROR(MOD(J97,1),1)&gt;0,AND(ISNUMBER(J97),OR(J97&lt;50,J97&gt;20000000))),"Введите целое число от 50 до 20000000",IF(NOT(ABS(IFERROR(VALUE(LEFT(M97,FIND("-",M97)-1)),M97)*100-(2500+2000000000)/2)&lt;=ABS(2500-2000000000)/2),"Цена со скидкой должна быть от 25 до 20000000",IF(IFERROR(VALUE(LEFT(M97,FIND("-",M97)-1)),M97)*220&lt;0,"Вы уменьшили цену в несколько раз, товар попадет в карантин цен",IF(AND(IFERROR(VALUE(I97),0)=0,ISNUMBER(J97),OR(J97&lt;248,ABS(IFERROR(VALUE(LEFT(M97,FIND("-",M97)-1)),M97))*100&lt;24800)),"Проверьте цену товара. Большинство товаров в выбранной категории стоят дороже 248",""))))),"")</f>
      </c>
    </row>
    <row r="98">
      <c r="A98" s="2" t="inlineStr">
        <is>
          <t>Крымский Хан</t>
        </is>
      </c>
      <c r="B98" s="2" t="inlineStr">
        <is>
          <t>Брелоки</t>
        </is>
      </c>
      <c r="C98" s="2">
        <v>197491601</v>
      </c>
      <c r="D98" s="2" t="inlineStr">
        <is>
          <t>Мы всегда рядом</t>
        </is>
      </c>
      <c r="E98" s="2" t="inlineStr">
        <is>
          <t>2039214765953</t>
        </is>
      </c>
      <c r="F98" s="2">
        <v>34</v>
      </c>
      <c r="G98" s="2">
        <v>0</v>
      </c>
      <c r="H98" s="2">
        <v>999</v>
      </c>
      <c r="I98" s="2" t="inlineStr">
        <is>
          <t>1000</t>
        </is>
      </c>
      <c r="J98" s="4"/>
      <c r="K98" s="2">
        <v>29</v>
      </c>
      <c r="L98" s="6"/>
      <c r="M98" s="2" t="str">
        <f>IF(J98="",ROUND(I98*(1-IF(ISBLANK(L98),K98,L98)/100),2),ROUND(J98*(1-IF(ISBLANK(L98),K98,L98)/100),2))</f>
      </c>
      <c r="N98" s="7" t="str">
        <f>IF(NOT(AND(J98="",L98="")),IF(OR(AND(L98&lt;&gt;"",NOT(ISNUMBER(L98))),IFERROR(MOD(L98,1),1)&gt;0,AND(ISNUMBER(L98),OR(L98&lt;0,L98&gt;95))),"Введите целое число от 0 до 95",IF(OR(AND(J98&lt;&gt;"",NOT(ISNUMBER(J98))),IFERROR(MOD(J98,1),1)&gt;0,AND(ISNUMBER(J98),OR(J98&lt;50,J98&gt;20000000))),"Введите целое число от 50 до 20000000",IF(NOT(ABS(IFERROR(VALUE(LEFT(M98,FIND("-",M98)-1)),M98)*100-(2500+2000000000)/2)&lt;=ABS(2500-2000000000)/2),"Цена со скидкой должна быть от 25 до 20000000",IF(IFERROR(VALUE(LEFT(M98,FIND("-",M98)-1)),M98)*220&lt;71000,"Вы уменьшили цену в несколько раз, товар попадет в карантин цен",IF(AND(IFERROR(VALUE(I98),0)=0,ISNUMBER(J98),OR(J98&lt;198,ABS(IFERROR(VALUE(LEFT(M98,FIND("-",M98)-1)),M98))*100&lt;19800)),"Проверьте цену товара. Большинство товаров в выбранной категории стоят дороже 198",""))))),"")</f>
      </c>
    </row>
    <row r="99">
      <c r="A99" s="2" t="inlineStr">
        <is>
          <t>Крымский Хан</t>
        </is>
      </c>
      <c r="B99" s="2" t="inlineStr">
        <is>
          <t>Браслеты</t>
        </is>
      </c>
      <c r="C99" s="2">
        <v>266789968</v>
      </c>
      <c r="D99" s="2" t="inlineStr">
        <is>
          <t>16</t>
        </is>
      </c>
      <c r="E99" s="2" t="inlineStr">
        <is>
          <t>2041360527316</t>
        </is>
      </c>
      <c r="F99" s="2">
        <v>3</v>
      </c>
      <c r="G99" s="2">
        <v>0</v>
      </c>
      <c r="H99" s="2">
        <v>75</v>
      </c>
      <c r="I99" s="2" t="inlineStr">
        <is>
          <t>3530</t>
        </is>
      </c>
      <c r="J99" s="4"/>
      <c r="K99" s="2">
        <v>30</v>
      </c>
      <c r="L99" s="6"/>
      <c r="M99" s="2" t="str">
        <f>IF(J99="",ROUND(I99*(1-IF(ISBLANK(L99),K99,L99)/100),2),ROUND(J99*(1-IF(ISBLANK(L99),K99,L99)/100),2))</f>
      </c>
      <c r="N99" s="7" t="str">
        <f>IF(NOT(AND(J99="",L99="")),IF(OR(AND(L99&lt;&gt;"",NOT(ISNUMBER(L99))),IFERROR(MOD(L99,1),1)&gt;0,AND(ISNUMBER(L99),OR(L99&lt;0,L99&gt;95))),"Введите целое число от 0 до 95",IF(OR(AND(J99&lt;&gt;"",NOT(ISNUMBER(J99))),IFERROR(MOD(J99,1),1)&gt;0,AND(ISNUMBER(J99),OR(J99&lt;50,J99&gt;20000000))),"Введите целое число от 50 до 20000000",IF(NOT(ABS(IFERROR(VALUE(LEFT(M99,FIND("-",M99)-1)),M99)*100-(2500+2000000000)/2)&lt;=ABS(2500-2000000000)/2),"Цена со скидкой должна быть от 25 до 20000000",IF(IFERROR(VALUE(LEFT(M99,FIND("-",M99)-1)),M99)*220&lt;247100,"Вы уменьшили цену в несколько раз, товар попадет в карантин цен",IF(AND(IFERROR(VALUE(I99),0)=0,ISNUMBER(J99),OR(J99&lt;206,ABS(IFERROR(VALUE(LEFT(M99,FIND("-",M99)-1)),M99))*100&lt;20600)),"Проверьте цену товара. Большинство товаров в выбранной категории стоят дороже 206",""))))),"")</f>
      </c>
    </row>
    <row r="100">
      <c r="A100" s="2" t="inlineStr">
        <is>
          <t/>
        </is>
      </c>
      <c r="B100" s="2" t="inlineStr">
        <is>
          <t>Браслеты</t>
        </is>
      </c>
      <c r="C100" s="2">
        <v>328804911</v>
      </c>
      <c r="D100" s="2" t="inlineStr">
        <is>
          <t>wb2bpbls2p2</t>
        </is>
      </c>
      <c r="E100" s="2" t="inlineStr">
        <is>
          <t>2042793689763</t>
        </is>
      </c>
      <c r="F100" s="2" t="inlineStr">
        <is>
          <t/>
        </is>
      </c>
      <c r="G100" s="2" t="inlineStr">
        <is>
          <t/>
        </is>
      </c>
      <c r="H100" s="2" t="inlineStr">
        <is>
          <t/>
        </is>
      </c>
      <c r="I100" s="2" t="inlineStr">
        <is>
          <t>3530</t>
        </is>
      </c>
      <c r="J100" s="4"/>
      <c r="K100" s="2">
        <v>15</v>
      </c>
      <c r="L100" s="6"/>
      <c r="M100" s="2" t="str">
        <f>IF(J100="",ROUND(I100*(1-IF(ISBLANK(L100),K100,L100)/100),2),ROUND(J100*(1-IF(ISBLANK(L100),K100,L100)/100),2))</f>
      </c>
      <c r="N100" s="7" t="str">
        <f>IF(NOT(AND(J100="",L100="")),IF(OR(AND(L100&lt;&gt;"",NOT(ISNUMBER(L100))),IFERROR(MOD(L100,1),1)&gt;0,AND(ISNUMBER(L100),OR(L100&lt;0,L100&gt;95))),"Введите целое число от 0 до 95",IF(OR(AND(J100&lt;&gt;"",NOT(ISNUMBER(J100))),IFERROR(MOD(J100,1),1)&gt;0,AND(ISNUMBER(J100),OR(J100&lt;50,J100&gt;20000000))),"Введите целое число от 50 до 20000000",IF(NOT(ABS(IFERROR(VALUE(LEFT(M100,FIND("-",M100)-1)),M100)*100-(2500+2000000000)/2)&lt;=ABS(2500-2000000000)/2),"Цена со скидкой должна быть от 25 до 20000000",IF(IFERROR(VALUE(LEFT(M100,FIND("-",M100)-1)),M100)*220&lt;300050,"Вы уменьшили цену в несколько раз, товар попадет в карантин цен",IF(AND(IFERROR(VALUE(I100),0)=0,ISNUMBER(J100),OR(J100&lt;206,ABS(IFERROR(VALUE(LEFT(M100,FIND("-",M100)-1)),M100))*100&lt;20600)),"Проверьте цену товара. Большинство товаров в выбранной категории стоят дороже 206",""))))),"")</f>
      </c>
    </row>
    <row r="101">
      <c r="A101" s="2" t="inlineStr">
        <is>
          <t>Крымский Хан</t>
        </is>
      </c>
      <c r="B101" s="2" t="inlineStr">
        <is>
          <t>Серьги</t>
        </is>
      </c>
      <c r="C101" s="2">
        <v>268147391</v>
      </c>
      <c r="D101" s="2" t="inlineStr">
        <is>
          <t>серьги 29</t>
        </is>
      </c>
      <c r="E101" s="2" t="inlineStr">
        <is>
          <t>2041388839934</t>
        </is>
      </c>
      <c r="F101" s="2">
        <v>5</v>
      </c>
      <c r="G101" s="2">
        <v>0</v>
      </c>
      <c r="H101" s="2">
        <v>45</v>
      </c>
      <c r="I101" s="2" t="inlineStr">
        <is>
          <t>3177</t>
        </is>
      </c>
      <c r="J101" s="4"/>
      <c r="K101" s="2">
        <v>36</v>
      </c>
      <c r="L101" s="6"/>
      <c r="M101" s="2" t="str">
        <f>IF(J101="",ROUND(I101*(1-IF(ISBLANK(L101),K101,L101)/100),2),ROUND(J101*(1-IF(ISBLANK(L101),K101,L101)/100),2))</f>
      </c>
      <c r="N101" s="7" t="str">
        <f>IF(NOT(AND(J101="",L101="")),IF(OR(AND(L101&lt;&gt;"",NOT(ISNUMBER(L101))),IFERROR(MOD(L101,1),1)&gt;0,AND(ISNUMBER(L101),OR(L101&lt;0,L101&gt;95))),"Введите целое число от 0 до 95",IF(OR(AND(J101&lt;&gt;"",NOT(ISNUMBER(J101))),IFERROR(MOD(J101,1),1)&gt;0,AND(ISNUMBER(J101),OR(J101&lt;50,J101&gt;20000000))),"Введите целое число от 50 до 20000000",IF(NOT(ABS(IFERROR(VALUE(LEFT(M101,FIND("-",M101)-1)),M101)*100-(2500+2000000000)/2)&lt;=ABS(2500-2000000000)/2),"Цена со скидкой должна быть от 25 до 20000000",IF(IFERROR(VALUE(LEFT(M101,FIND("-",M101)-1)),M101)*220&lt;203328,"Вы уменьшили цену в несколько раз, товар попадет в карантин цен",IF(AND(IFERROR(VALUE(I101),0)=0,ISNUMBER(J101),OR(J101&lt;211,ABS(IFERROR(VALUE(LEFT(M101,FIND("-",M101)-1)),M101))*100&lt;21100)),"Проверьте цену товара. Большинство товаров в выбранной категории стоят дороже 211",""))))),"")</f>
      </c>
    </row>
    <row r="102">
      <c r="A102" s="2" t="inlineStr">
        <is>
          <t/>
        </is>
      </c>
      <c r="B102" s="2" t="inlineStr">
        <is>
          <t>Кольца</t>
        </is>
      </c>
      <c r="C102" s="2">
        <v>734605459</v>
      </c>
      <c r="D102" s="2" t="inlineStr">
        <is>
          <t>138</t>
        </is>
      </c>
      <c r="E102" s="2" t="inlineStr">
        <is>
          <t>2048129756369</t>
        </is>
      </c>
      <c r="F102" s="2" t="inlineStr">
        <is>
          <t/>
        </is>
      </c>
      <c r="G102" s="2" t="inlineStr">
        <is>
          <t/>
        </is>
      </c>
      <c r="H102" s="2" t="inlineStr">
        <is>
          <t/>
        </is>
      </c>
      <c r="I102" s="2" t="inlineStr">
        <is>
          <t>0</t>
        </is>
      </c>
      <c r="J102" s="4"/>
      <c r="K102" s="2">
        <v>0</v>
      </c>
      <c r="L102" s="6"/>
      <c r="M102" s="2" t="str">
        <f>IF(J102="",ROUND(I102*(1-IF(ISBLANK(L102),K102,L102)/100),2),ROUND(J102*(1-IF(ISBLANK(L102),K102,L102)/100),2))</f>
      </c>
      <c r="N102" s="7" t="str">
        <f>IF(NOT(AND(J102="",L102="")),IF(OR(AND(L102&lt;&gt;"",NOT(ISNUMBER(L102))),IFERROR(MOD(L102,1),1)&gt;0,AND(ISNUMBER(L102),OR(L102&lt;0,L102&gt;95))),"Введите целое число от 0 до 95",IF(OR(AND(J102&lt;&gt;"",NOT(ISNUMBER(J102))),IFERROR(MOD(J102,1),1)&gt;0,AND(ISNUMBER(J102),OR(J102&lt;50,J102&gt;20000000))),"Введите целое число от 50 до 20000000",IF(NOT(ABS(IFERROR(VALUE(LEFT(M102,FIND("-",M102)-1)),M102)*100-(2500+2000000000)/2)&lt;=ABS(2500-2000000000)/2),"Цена со скидкой должна быть от 25 до 20000000",IF(IFERROR(VALUE(LEFT(M102,FIND("-",M102)-1)),M102)*220&lt;0,"Вы уменьшили цену в несколько раз, товар попадет в карантин цен",IF(AND(IFERROR(VALUE(I102),0)=0,ISNUMBER(J102),OR(J102&lt;248,ABS(IFERROR(VALUE(LEFT(M102,FIND("-",M102)-1)),M102))*100&lt;24800)),"Проверьте цену товара. Большинство товаров в выбранной категории стоят дороже 248",""))))),"")</f>
      </c>
    </row>
    <row r="103">
      <c r="A103" s="2" t="inlineStr">
        <is>
          <t/>
        </is>
      </c>
      <c r="B103" s="2" t="inlineStr">
        <is>
          <t>Кольца</t>
        </is>
      </c>
      <c r="C103" s="2">
        <v>734605452</v>
      </c>
      <c r="D103" s="2" t="inlineStr">
        <is>
          <t>132</t>
        </is>
      </c>
      <c r="E103" s="2" t="inlineStr">
        <is>
          <t>2048129756154</t>
        </is>
      </c>
      <c r="F103" s="2" t="inlineStr">
        <is>
          <t/>
        </is>
      </c>
      <c r="G103" s="2" t="inlineStr">
        <is>
          <t/>
        </is>
      </c>
      <c r="H103" s="2" t="inlineStr">
        <is>
          <t/>
        </is>
      </c>
      <c r="I103" s="2" t="inlineStr">
        <is>
          <t>0</t>
        </is>
      </c>
      <c r="J103" s="4"/>
      <c r="K103" s="2">
        <v>0</v>
      </c>
      <c r="L103" s="6"/>
      <c r="M103" s="2" t="str">
        <f>IF(J103="",ROUND(I103*(1-IF(ISBLANK(L103),K103,L103)/100),2),ROUND(J103*(1-IF(ISBLANK(L103),K103,L103)/100),2))</f>
      </c>
      <c r="N103" s="7" t="str">
        <f>IF(NOT(AND(J103="",L103="")),IF(OR(AND(L103&lt;&gt;"",NOT(ISNUMBER(L103))),IFERROR(MOD(L103,1),1)&gt;0,AND(ISNUMBER(L103),OR(L103&lt;0,L103&gt;95))),"Введите целое число от 0 до 95",IF(OR(AND(J103&lt;&gt;"",NOT(ISNUMBER(J103))),IFERROR(MOD(J103,1),1)&gt;0,AND(ISNUMBER(J103),OR(J103&lt;50,J103&gt;20000000))),"Введите целое число от 50 до 20000000",IF(NOT(ABS(IFERROR(VALUE(LEFT(M103,FIND("-",M103)-1)),M103)*100-(2500+2000000000)/2)&lt;=ABS(2500-2000000000)/2),"Цена со скидкой должна быть от 25 до 20000000",IF(IFERROR(VALUE(LEFT(M103,FIND("-",M103)-1)),M103)*220&lt;0,"Вы уменьшили цену в несколько раз, товар попадет в карантин цен",IF(AND(IFERROR(VALUE(I103),0)=0,ISNUMBER(J103),OR(J103&lt;248,ABS(IFERROR(VALUE(LEFT(M103,FIND("-",M103)-1)),M103))*100&lt;24800)),"Проверьте цену товара. Большинство товаров в выбранной категории стоят дороже 248",""))))),"")</f>
      </c>
    </row>
    <row r="104">
      <c r="A104" s="2" t="inlineStr">
        <is>
          <t/>
        </is>
      </c>
      <c r="B104" s="2" t="inlineStr">
        <is>
          <t>Кольца</t>
        </is>
      </c>
      <c r="C104" s="2">
        <v>734605448</v>
      </c>
      <c r="D104" s="2" t="inlineStr">
        <is>
          <t>128</t>
        </is>
      </c>
      <c r="E104" s="2" t="inlineStr">
        <is>
          <t>2048129756055</t>
        </is>
      </c>
      <c r="F104" s="2" t="inlineStr">
        <is>
          <t/>
        </is>
      </c>
      <c r="G104" s="2" t="inlineStr">
        <is>
          <t/>
        </is>
      </c>
      <c r="H104" s="2" t="inlineStr">
        <is>
          <t/>
        </is>
      </c>
      <c r="I104" s="2" t="inlineStr">
        <is>
          <t>0</t>
        </is>
      </c>
      <c r="J104" s="4"/>
      <c r="K104" s="2">
        <v>0</v>
      </c>
      <c r="L104" s="6"/>
      <c r="M104" s="2" t="str">
        <f>IF(J104="",ROUND(I104*(1-IF(ISBLANK(L104),K104,L104)/100),2),ROUND(J104*(1-IF(ISBLANK(L104),K104,L104)/100),2))</f>
      </c>
      <c r="N104" s="7" t="str">
        <f>IF(NOT(AND(J104="",L104="")),IF(OR(AND(L104&lt;&gt;"",NOT(ISNUMBER(L104))),IFERROR(MOD(L104,1),1)&gt;0,AND(ISNUMBER(L104),OR(L104&lt;0,L104&gt;95))),"Введите целое число от 0 до 95",IF(OR(AND(J104&lt;&gt;"",NOT(ISNUMBER(J104))),IFERROR(MOD(J104,1),1)&gt;0,AND(ISNUMBER(J104),OR(J104&lt;50,J104&gt;20000000))),"Введите целое число от 50 до 20000000",IF(NOT(ABS(IFERROR(VALUE(LEFT(M104,FIND("-",M104)-1)),M104)*100-(2500+2000000000)/2)&lt;=ABS(2500-2000000000)/2),"Цена со скидкой должна быть от 25 до 20000000",IF(IFERROR(VALUE(LEFT(M104,FIND("-",M104)-1)),M104)*220&lt;0,"Вы уменьшили цену в несколько раз, товар попадет в карантин цен",IF(AND(IFERROR(VALUE(I104),0)=0,ISNUMBER(J104),OR(J104&lt;248,ABS(IFERROR(VALUE(LEFT(M104,FIND("-",M104)-1)),M104))*100&lt;24800)),"Проверьте цену товара. Большинство товаров в выбранной категории стоят дороже 248",""))))),"")</f>
      </c>
    </row>
    <row r="105">
      <c r="A105" s="2" t="inlineStr">
        <is>
          <t/>
        </is>
      </c>
      <c r="B105" s="2" t="inlineStr">
        <is>
          <t>Кольца</t>
        </is>
      </c>
      <c r="C105" s="2">
        <v>734605461</v>
      </c>
      <c r="D105" s="2" t="inlineStr">
        <is>
          <t>140</t>
        </is>
      </c>
      <c r="E105" s="2" t="inlineStr">
        <is>
          <t>2048129756413</t>
        </is>
      </c>
      <c r="F105" s="2">
        <v>15</v>
      </c>
      <c r="G105" s="2">
        <v>0</v>
      </c>
      <c r="H105" s="2">
        <v>999</v>
      </c>
      <c r="I105" s="2" t="inlineStr">
        <is>
          <t>0</t>
        </is>
      </c>
      <c r="J105" s="4"/>
      <c r="K105" s="2">
        <v>0</v>
      </c>
      <c r="L105" s="6"/>
      <c r="M105" s="2" t="str">
        <f>IF(J105="",ROUND(I105*(1-IF(ISBLANK(L105),K105,L105)/100),2),ROUND(J105*(1-IF(ISBLANK(L105),K105,L105)/100),2))</f>
      </c>
      <c r="N105" s="7" t="str">
        <f>IF(NOT(AND(J105="",L105="")),IF(OR(AND(L105&lt;&gt;"",NOT(ISNUMBER(L105))),IFERROR(MOD(L105,1),1)&gt;0,AND(ISNUMBER(L105),OR(L105&lt;0,L105&gt;95))),"Введите целое число от 0 до 95",IF(OR(AND(J105&lt;&gt;"",NOT(ISNUMBER(J105))),IFERROR(MOD(J105,1),1)&gt;0,AND(ISNUMBER(J105),OR(J105&lt;50,J105&gt;20000000))),"Введите целое число от 50 до 20000000",IF(NOT(ABS(IFERROR(VALUE(LEFT(M105,FIND("-",M105)-1)),M105)*100-(2500+2000000000)/2)&lt;=ABS(2500-2000000000)/2),"Цена со скидкой должна быть от 25 до 20000000",IF(IFERROR(VALUE(LEFT(M105,FIND("-",M105)-1)),M105)*220&lt;0,"Вы уменьшили цену в несколько раз, товар попадет в карантин цен",IF(AND(IFERROR(VALUE(I105),0)=0,ISNUMBER(J105),OR(J105&lt;248,ABS(IFERROR(VALUE(LEFT(M105,FIND("-",M105)-1)),M105))*100&lt;24800)),"Проверьте цену товара. Большинство товаров в выбранной категории стоят дороже 248",""))))),"")</f>
      </c>
    </row>
    <row r="106">
      <c r="A106" s="2" t="inlineStr">
        <is>
          <t>Крымский Хан</t>
        </is>
      </c>
      <c r="B106" s="2" t="inlineStr">
        <is>
          <t>Брелоки</t>
        </is>
      </c>
      <c r="C106" s="2">
        <v>197491600</v>
      </c>
      <c r="D106" s="2" t="inlineStr">
        <is>
          <t>Я верю в тебя</t>
        </is>
      </c>
      <c r="E106" s="2" t="inlineStr">
        <is>
          <t>2039214753226</t>
        </is>
      </c>
      <c r="F106" s="2">
        <v>6</v>
      </c>
      <c r="G106" s="2">
        <v>0</v>
      </c>
      <c r="H106" s="2">
        <v>999</v>
      </c>
      <c r="I106" s="2" t="inlineStr">
        <is>
          <t>1000</t>
        </is>
      </c>
      <c r="J106" s="4"/>
      <c r="K106" s="2">
        <v>31</v>
      </c>
      <c r="L106" s="6"/>
      <c r="M106" s="2" t="str">
        <f>IF(J106="",ROUND(I106*(1-IF(ISBLANK(L106),K106,L106)/100),2),ROUND(J106*(1-IF(ISBLANK(L106),K106,L106)/100),2))</f>
      </c>
      <c r="N106" s="7" t="str">
        <f>IF(NOT(AND(J106="",L106="")),IF(OR(AND(L106&lt;&gt;"",NOT(ISNUMBER(L106))),IFERROR(MOD(L106,1),1)&gt;0,AND(ISNUMBER(L106),OR(L106&lt;0,L106&gt;95))),"Введите целое число от 0 до 95",IF(OR(AND(J106&lt;&gt;"",NOT(ISNUMBER(J106))),IFERROR(MOD(J106,1),1)&gt;0,AND(ISNUMBER(J106),OR(J106&lt;50,J106&gt;20000000))),"Введите целое число от 50 до 20000000",IF(NOT(ABS(IFERROR(VALUE(LEFT(M106,FIND("-",M106)-1)),M106)*100-(2500+2000000000)/2)&lt;=ABS(2500-2000000000)/2),"Цена со скидкой должна быть от 25 до 20000000",IF(IFERROR(VALUE(LEFT(M106,FIND("-",M106)-1)),M106)*220&lt;69000,"Вы уменьшили цену в несколько раз, товар попадет в карантин цен",IF(AND(IFERROR(VALUE(I106),0)=0,ISNUMBER(J106),OR(J106&lt;198,ABS(IFERROR(VALUE(LEFT(M106,FIND("-",M106)-1)),M106))*100&lt;19800)),"Проверьте цену товара. Большинство товаров в выбранной категории стоят дороже 198",""))))),"")</f>
      </c>
    </row>
    <row r="107">
      <c r="A107" s="2" t="inlineStr">
        <is>
          <t>Крымский Хан</t>
        </is>
      </c>
      <c r="B107" s="2" t="inlineStr">
        <is>
          <t>Брелоки</t>
        </is>
      </c>
      <c r="C107" s="2">
        <v>197491602</v>
      </c>
      <c r="D107" s="2" t="inlineStr">
        <is>
          <t>Время. Love</t>
        </is>
      </c>
      <c r="E107" s="2" t="inlineStr">
        <is>
          <t>2039214765960</t>
        </is>
      </c>
      <c r="F107" s="2">
        <v>43</v>
      </c>
      <c r="G107" s="2">
        <v>0</v>
      </c>
      <c r="H107" s="2">
        <v>999</v>
      </c>
      <c r="I107" s="2" t="inlineStr">
        <is>
          <t>1000</t>
        </is>
      </c>
      <c r="J107" s="4"/>
      <c r="K107" s="2">
        <v>28</v>
      </c>
      <c r="L107" s="6"/>
      <c r="M107" s="2" t="str">
        <f>IF(J107="",ROUND(I107*(1-IF(ISBLANK(L107),K107,L107)/100),2),ROUND(J107*(1-IF(ISBLANK(L107),K107,L107)/100),2))</f>
      </c>
      <c r="N107" s="7" t="str">
        <f>IF(NOT(AND(J107="",L107="")),IF(OR(AND(L107&lt;&gt;"",NOT(ISNUMBER(L107))),IFERROR(MOD(L107,1),1)&gt;0,AND(ISNUMBER(L107),OR(L107&lt;0,L107&gt;95))),"Введите целое число от 0 до 95",IF(OR(AND(J107&lt;&gt;"",NOT(ISNUMBER(J107))),IFERROR(MOD(J107,1),1)&gt;0,AND(ISNUMBER(J107),OR(J107&lt;50,J107&gt;20000000))),"Введите целое число от 50 до 20000000",IF(NOT(ABS(IFERROR(VALUE(LEFT(M107,FIND("-",M107)-1)),M107)*100-(2500+2000000000)/2)&lt;=ABS(2500-2000000000)/2),"Цена со скидкой должна быть от 25 до 20000000",IF(IFERROR(VALUE(LEFT(M107,FIND("-",M107)-1)),M107)*220&lt;72000,"Вы уменьшили цену в несколько раз, товар попадет в карантин цен",IF(AND(IFERROR(VALUE(I107),0)=0,ISNUMBER(J107),OR(J107&lt;198,ABS(IFERROR(VALUE(LEFT(M107,FIND("-",M107)-1)),M107))*100&lt;19800)),"Проверьте цену товара. Большинство товаров в выбранной категории стоят дороже 198",""))))),"")</f>
      </c>
    </row>
    <row r="108">
      <c r="A108" s="2" t="inlineStr">
        <is>
          <t>Крымский Хан</t>
        </is>
      </c>
      <c r="B108" s="2" t="inlineStr">
        <is>
          <t>Серьги</t>
        </is>
      </c>
      <c r="C108" s="2">
        <v>316654386</v>
      </c>
      <c r="D108" s="2" t="inlineStr">
        <is>
          <t>83</t>
        </is>
      </c>
      <c r="E108" s="2" t="inlineStr">
        <is>
          <t>2042574981444</t>
        </is>
      </c>
      <c r="F108" s="2">
        <v>5</v>
      </c>
      <c r="G108" s="2">
        <v>0</v>
      </c>
      <c r="H108" s="2">
        <v>100</v>
      </c>
      <c r="I108" s="2" t="inlineStr">
        <is>
          <t>2942</t>
        </is>
      </c>
      <c r="J108" s="4"/>
      <c r="K108" s="2">
        <v>42</v>
      </c>
      <c r="L108" s="6"/>
      <c r="M108" s="2" t="str">
        <f>IF(J108="",ROUND(I108*(1-IF(ISBLANK(L108),K108,L108)/100),2),ROUND(J108*(1-IF(ISBLANK(L108),K108,L108)/100),2))</f>
      </c>
      <c r="N108" s="7" t="str">
        <f>IF(NOT(AND(J108="",L108="")),IF(OR(AND(L108&lt;&gt;"",NOT(ISNUMBER(L108))),IFERROR(MOD(L108,1),1)&gt;0,AND(ISNUMBER(L108),OR(L108&lt;0,L108&gt;95))),"Введите целое число от 0 до 95",IF(OR(AND(J108&lt;&gt;"",NOT(ISNUMBER(J108))),IFERROR(MOD(J108,1),1)&gt;0,AND(ISNUMBER(J108),OR(J108&lt;50,J108&gt;20000000))),"Введите целое число от 50 до 20000000",IF(NOT(ABS(IFERROR(VALUE(LEFT(M108,FIND("-",M108)-1)),M108)*100-(2500+2000000000)/2)&lt;=ABS(2500-2000000000)/2),"Цена со скидкой должна быть от 25 до 20000000",IF(IFERROR(VALUE(LEFT(M108,FIND("-",M108)-1)),M108)*220&lt;170636,"Вы уменьшили цену в несколько раз, товар попадет в карантин цен",IF(AND(IFERROR(VALUE(I108),0)=0,ISNUMBER(J108),OR(J108&lt;211,ABS(IFERROR(VALUE(LEFT(M108,FIND("-",M108)-1)),M108))*100&lt;21100)),"Проверьте цену товара. Большинство товаров в выбранной категории стоят дороже 211",""))))),"")</f>
      </c>
    </row>
    <row r="109">
      <c r="A109" s="2" t="inlineStr">
        <is>
          <t/>
        </is>
      </c>
      <c r="B109" s="2" t="inlineStr">
        <is>
          <t>Кольца</t>
        </is>
      </c>
      <c r="C109" s="2">
        <v>734605440</v>
      </c>
      <c r="D109" s="2" t="inlineStr">
        <is>
          <t>120</t>
        </is>
      </c>
      <c r="E109" s="2" t="inlineStr">
        <is>
          <t>2048129755829</t>
        </is>
      </c>
      <c r="F109" s="2" t="inlineStr">
        <is>
          <t/>
        </is>
      </c>
      <c r="G109" s="2" t="inlineStr">
        <is>
          <t/>
        </is>
      </c>
      <c r="H109" s="2" t="inlineStr">
        <is>
          <t/>
        </is>
      </c>
      <c r="I109" s="2" t="inlineStr">
        <is>
          <t>0</t>
        </is>
      </c>
      <c r="J109" s="4"/>
      <c r="K109" s="2">
        <v>0</v>
      </c>
      <c r="L109" s="6"/>
      <c r="M109" s="2" t="str">
        <f>IF(J109="",ROUND(I109*(1-IF(ISBLANK(L109),K109,L109)/100),2),ROUND(J109*(1-IF(ISBLANK(L109),K109,L109)/100),2))</f>
      </c>
      <c r="N109" s="7" t="str">
        <f>IF(NOT(AND(J109="",L109="")),IF(OR(AND(L109&lt;&gt;"",NOT(ISNUMBER(L109))),IFERROR(MOD(L109,1),1)&gt;0,AND(ISNUMBER(L109),OR(L109&lt;0,L109&gt;95))),"Введите целое число от 0 до 95",IF(OR(AND(J109&lt;&gt;"",NOT(ISNUMBER(J109))),IFERROR(MOD(J109,1),1)&gt;0,AND(ISNUMBER(J109),OR(J109&lt;50,J109&gt;20000000))),"Введите целое число от 50 до 20000000",IF(NOT(ABS(IFERROR(VALUE(LEFT(M109,FIND("-",M109)-1)),M109)*100-(2500+2000000000)/2)&lt;=ABS(2500-2000000000)/2),"Цена со скидкой должна быть от 25 до 20000000",IF(IFERROR(VALUE(LEFT(M109,FIND("-",M109)-1)),M109)*220&lt;0,"Вы уменьшили цену в несколько раз, товар попадет в карантин цен",IF(AND(IFERROR(VALUE(I109),0)=0,ISNUMBER(J109),OR(J109&lt;248,ABS(IFERROR(VALUE(LEFT(M109,FIND("-",M109)-1)),M109))*100&lt;24800)),"Проверьте цену товара. Большинство товаров в выбранной категории стоят дороже 248",""))))),"")</f>
      </c>
    </row>
    <row r="110">
      <c r="A110" s="2" t="inlineStr">
        <is>
          <t/>
        </is>
      </c>
      <c r="B110" s="2" t="inlineStr">
        <is>
          <t>Кольца</t>
        </is>
      </c>
      <c r="C110" s="2">
        <v>734605460</v>
      </c>
      <c r="D110" s="2" t="inlineStr">
        <is>
          <t>139</t>
        </is>
      </c>
      <c r="E110" s="2" t="inlineStr">
        <is>
          <t>2048129756383</t>
        </is>
      </c>
      <c r="F110" s="2" t="inlineStr">
        <is>
          <t/>
        </is>
      </c>
      <c r="G110" s="2" t="inlineStr">
        <is>
          <t/>
        </is>
      </c>
      <c r="H110" s="2" t="inlineStr">
        <is>
          <t/>
        </is>
      </c>
      <c r="I110" s="2" t="inlineStr">
        <is>
          <t>0</t>
        </is>
      </c>
      <c r="J110" s="4"/>
      <c r="K110" s="2">
        <v>0</v>
      </c>
      <c r="L110" s="6"/>
      <c r="M110" s="2" t="str">
        <f>IF(J110="",ROUND(I110*(1-IF(ISBLANK(L110),K110,L110)/100),2),ROUND(J110*(1-IF(ISBLANK(L110),K110,L110)/100),2))</f>
      </c>
      <c r="N110" s="7" t="str">
        <f>IF(NOT(AND(J110="",L110="")),IF(OR(AND(L110&lt;&gt;"",NOT(ISNUMBER(L110))),IFERROR(MOD(L110,1),1)&gt;0,AND(ISNUMBER(L110),OR(L110&lt;0,L110&gt;95))),"Введите целое число от 0 до 95",IF(OR(AND(J110&lt;&gt;"",NOT(ISNUMBER(J110))),IFERROR(MOD(J110,1),1)&gt;0,AND(ISNUMBER(J110),OR(J110&lt;50,J110&gt;20000000))),"Введите целое число от 50 до 20000000",IF(NOT(ABS(IFERROR(VALUE(LEFT(M110,FIND("-",M110)-1)),M110)*100-(2500+2000000000)/2)&lt;=ABS(2500-2000000000)/2),"Цена со скидкой должна быть от 25 до 20000000",IF(IFERROR(VALUE(LEFT(M110,FIND("-",M110)-1)),M110)*220&lt;0,"Вы уменьшили цену в несколько раз, товар попадет в карантин цен",IF(AND(IFERROR(VALUE(I110),0)=0,ISNUMBER(J110),OR(J110&lt;248,ABS(IFERROR(VALUE(LEFT(M110,FIND("-",M110)-1)),M110))*100&lt;24800)),"Проверьте цену товара. Большинство товаров в выбранной категории стоят дороже 248",""))))),"")</f>
      </c>
    </row>
    <row r="111">
      <c r="A111" s="2" t="inlineStr">
        <is>
          <t/>
        </is>
      </c>
      <c r="B111" s="2" t="inlineStr">
        <is>
          <t>Кольца</t>
        </is>
      </c>
      <c r="C111" s="2">
        <v>734605457</v>
      </c>
      <c r="D111" s="2" t="inlineStr">
        <is>
          <t>136</t>
        </is>
      </c>
      <c r="E111" s="2" t="inlineStr">
        <is>
          <t>2048129756307</t>
        </is>
      </c>
      <c r="F111" s="2" t="inlineStr">
        <is>
          <t/>
        </is>
      </c>
      <c r="G111" s="2" t="inlineStr">
        <is>
          <t/>
        </is>
      </c>
      <c r="H111" s="2" t="inlineStr">
        <is>
          <t/>
        </is>
      </c>
      <c r="I111" s="2" t="inlineStr">
        <is>
          <t>0</t>
        </is>
      </c>
      <c r="J111" s="4"/>
      <c r="K111" s="2">
        <v>0</v>
      </c>
      <c r="L111" s="6"/>
      <c r="M111" s="2" t="str">
        <f>IF(J111="",ROUND(I111*(1-IF(ISBLANK(L111),K111,L111)/100),2),ROUND(J111*(1-IF(ISBLANK(L111),K111,L111)/100),2))</f>
      </c>
      <c r="N111" s="7" t="str">
        <f>IF(NOT(AND(J111="",L111="")),IF(OR(AND(L111&lt;&gt;"",NOT(ISNUMBER(L111))),IFERROR(MOD(L111,1),1)&gt;0,AND(ISNUMBER(L111),OR(L111&lt;0,L111&gt;95))),"Введите целое число от 0 до 95",IF(OR(AND(J111&lt;&gt;"",NOT(ISNUMBER(J111))),IFERROR(MOD(J111,1),1)&gt;0,AND(ISNUMBER(J111),OR(J111&lt;50,J111&gt;20000000))),"Введите целое число от 50 до 20000000",IF(NOT(ABS(IFERROR(VALUE(LEFT(M111,FIND("-",M111)-1)),M111)*100-(2500+2000000000)/2)&lt;=ABS(2500-2000000000)/2),"Цена со скидкой должна быть от 25 до 20000000",IF(IFERROR(VALUE(LEFT(M111,FIND("-",M111)-1)),M111)*220&lt;0,"Вы уменьшили цену в несколько раз, товар попадет в карантин цен",IF(AND(IFERROR(VALUE(I111),0)=0,ISNUMBER(J111),OR(J111&lt;248,ABS(IFERROR(VALUE(LEFT(M111,FIND("-",M111)-1)),M111))*100&lt;24800)),"Проверьте цену товара. Большинство товаров в выбранной категории стоят дороже 248",""))))),"")</f>
      </c>
    </row>
    <row r="112">
      <c r="A112" s="2" t="inlineStr">
        <is>
          <t>Крымский Хан</t>
        </is>
      </c>
      <c r="B112" s="2" t="inlineStr">
        <is>
          <t>Брелоки</t>
        </is>
      </c>
      <c r="C112" s="2">
        <v>37915606</v>
      </c>
      <c r="D112" s="2" t="inlineStr">
        <is>
          <t>KH3017KH3017</t>
        </is>
      </c>
      <c r="E112" s="2" t="inlineStr">
        <is>
          <t>2006873199009</t>
        </is>
      </c>
      <c r="F112" s="2" t="inlineStr">
        <is>
          <t/>
        </is>
      </c>
      <c r="G112" s="2" t="inlineStr">
        <is>
          <t/>
        </is>
      </c>
      <c r="H112" s="2">
        <v>0</v>
      </c>
      <c r="I112" s="2" t="inlineStr">
        <is>
          <t>1000</t>
        </is>
      </c>
      <c r="J112" s="4"/>
      <c r="K112" s="2">
        <v>15</v>
      </c>
      <c r="L112" s="6"/>
      <c r="M112" s="2" t="str">
        <f>IF(J112="",ROUND(I112*(1-IF(ISBLANK(L112),K112,L112)/100),2),ROUND(J112*(1-IF(ISBLANK(L112),K112,L112)/100),2))</f>
      </c>
      <c r="N112" s="7" t="str">
        <f>IF(NOT(AND(J112="",L112="")),IF(OR(AND(L112&lt;&gt;"",NOT(ISNUMBER(L112))),IFERROR(MOD(L112,1),1)&gt;0,AND(ISNUMBER(L112),OR(L112&lt;0,L112&gt;95))),"Введите целое число от 0 до 95",IF(OR(AND(J112&lt;&gt;"",NOT(ISNUMBER(J112))),IFERROR(MOD(J112,1),1)&gt;0,AND(ISNUMBER(J112),OR(J112&lt;50,J112&gt;20000000))),"Введите целое число от 50 до 20000000",IF(NOT(ABS(IFERROR(VALUE(LEFT(M112,FIND("-",M112)-1)),M112)*100-(2500+2000000000)/2)&lt;=ABS(2500-2000000000)/2),"Цена со скидкой должна быть от 25 до 20000000",IF(IFERROR(VALUE(LEFT(M112,FIND("-",M112)-1)),M112)*220&lt;85000,"Вы уменьшили цену в несколько раз, товар попадет в карантин цен",IF(AND(IFERROR(VALUE(I112),0)=0,ISNUMBER(J112),OR(J112&lt;198,ABS(IFERROR(VALUE(LEFT(M112,FIND("-",M112)-1)),M112))*100&lt;19800)),"Проверьте цену товара. Большинство товаров в выбранной категории стоят дороже 198",""))))),"")</f>
      </c>
    </row>
    <row r="113">
      <c r="A113" s="2" t="inlineStr">
        <is>
          <t>Крымский Хан</t>
        </is>
      </c>
      <c r="B113" s="2" t="inlineStr">
        <is>
          <t>Серьги</t>
        </is>
      </c>
      <c r="C113" s="2">
        <v>316654402</v>
      </c>
      <c r="D113" s="2" t="inlineStr">
        <is>
          <t>99</t>
        </is>
      </c>
      <c r="E113" s="2" t="inlineStr">
        <is>
          <t>2042574981604</t>
        </is>
      </c>
      <c r="F113" s="2">
        <v>3</v>
      </c>
      <c r="G113" s="2">
        <v>0</v>
      </c>
      <c r="H113" s="2">
        <v>108</v>
      </c>
      <c r="I113" s="2" t="inlineStr">
        <is>
          <t>2942</t>
        </is>
      </c>
      <c r="J113" s="4"/>
      <c r="K113" s="2">
        <v>48</v>
      </c>
      <c r="L113" s="6"/>
      <c r="M113" s="2" t="str">
        <f>IF(J113="",ROUND(I113*(1-IF(ISBLANK(L113),K113,L113)/100),2),ROUND(J113*(1-IF(ISBLANK(L113),K113,L113)/100),2))</f>
      </c>
      <c r="N113" s="7" t="str">
        <f>IF(NOT(AND(J113="",L113="")),IF(OR(AND(L113&lt;&gt;"",NOT(ISNUMBER(L113))),IFERROR(MOD(L113,1),1)&gt;0,AND(ISNUMBER(L113),OR(L113&lt;0,L113&gt;95))),"Введите целое число от 0 до 95",IF(OR(AND(J113&lt;&gt;"",NOT(ISNUMBER(J113))),IFERROR(MOD(J113,1),1)&gt;0,AND(ISNUMBER(J113),OR(J113&lt;50,J113&gt;20000000))),"Введите целое число от 50 до 20000000",IF(NOT(ABS(IFERROR(VALUE(LEFT(M113,FIND("-",M113)-1)),M113)*100-(2500+2000000000)/2)&lt;=ABS(2500-2000000000)/2),"Цена со скидкой должна быть от 25 до 20000000",IF(IFERROR(VALUE(LEFT(M113,FIND("-",M113)-1)),M113)*220&lt;152984,"Вы уменьшили цену в несколько раз, товар попадет в карантин цен",IF(AND(IFERROR(VALUE(I113),0)=0,ISNUMBER(J113),OR(J113&lt;211,ABS(IFERROR(VALUE(LEFT(M113,FIND("-",M113)-1)),M113))*100&lt;21100)),"Проверьте цену товара. Большинство товаров в выбранной категории стоят дороже 211",""))))),"")</f>
      </c>
    </row>
    <row r="114">
      <c r="A114" s="2" t="inlineStr">
        <is>
          <t/>
        </is>
      </c>
      <c r="B114" s="2" t="inlineStr">
        <is>
          <t>Кольца</t>
        </is>
      </c>
      <c r="C114" s="2">
        <v>734605441</v>
      </c>
      <c r="D114" s="2" t="inlineStr">
        <is>
          <t>121</t>
        </is>
      </c>
      <c r="E114" s="2" t="inlineStr">
        <is>
          <t>2048129755843</t>
        </is>
      </c>
      <c r="F114" s="2">
        <v>12</v>
      </c>
      <c r="G114" s="2">
        <v>0</v>
      </c>
      <c r="H114" s="2">
        <v>375</v>
      </c>
      <c r="I114" s="2" t="inlineStr">
        <is>
          <t>0</t>
        </is>
      </c>
      <c r="J114" s="4"/>
      <c r="K114" s="2">
        <v>0</v>
      </c>
      <c r="L114" s="6"/>
      <c r="M114" s="2" t="str">
        <f>IF(J114="",ROUND(I114*(1-IF(ISBLANK(L114),K114,L114)/100),2),ROUND(J114*(1-IF(ISBLANK(L114),K114,L114)/100),2))</f>
      </c>
      <c r="N114" s="7" t="str">
        <f>IF(NOT(AND(J114="",L114="")),IF(OR(AND(L114&lt;&gt;"",NOT(ISNUMBER(L114))),IFERROR(MOD(L114,1),1)&gt;0,AND(ISNUMBER(L114),OR(L114&lt;0,L114&gt;95))),"Введите целое число от 0 до 95",IF(OR(AND(J114&lt;&gt;"",NOT(ISNUMBER(J114))),IFERROR(MOD(J114,1),1)&gt;0,AND(ISNUMBER(J114),OR(J114&lt;50,J114&gt;20000000))),"Введите целое число от 50 до 20000000",IF(NOT(ABS(IFERROR(VALUE(LEFT(M114,FIND("-",M114)-1)),M114)*100-(2500+2000000000)/2)&lt;=ABS(2500-2000000000)/2),"Цена со скидкой должна быть от 25 до 20000000",IF(IFERROR(VALUE(LEFT(M114,FIND("-",M114)-1)),M114)*220&lt;0,"Вы уменьшили цену в несколько раз, товар попадет в карантин цен",IF(AND(IFERROR(VALUE(I114),0)=0,ISNUMBER(J114),OR(J114&lt;248,ABS(IFERROR(VALUE(LEFT(M114,FIND("-",M114)-1)),M114))*100&lt;24800)),"Проверьте цену товара. Большинство товаров в выбранной категории стоят дороже 248",""))))),"")</f>
      </c>
    </row>
    <row r="115">
      <c r="A115" s="2" t="inlineStr">
        <is>
          <t/>
        </is>
      </c>
      <c r="B115" s="2" t="inlineStr">
        <is>
          <t>Кольца</t>
        </is>
      </c>
      <c r="C115" s="2">
        <v>734605462</v>
      </c>
      <c r="D115" s="2" t="inlineStr">
        <is>
          <t>141</t>
        </is>
      </c>
      <c r="E115" s="2" t="inlineStr">
        <is>
          <t>2048129756437</t>
        </is>
      </c>
      <c r="F115" s="2" t="inlineStr">
        <is>
          <t/>
        </is>
      </c>
      <c r="G115" s="2" t="inlineStr">
        <is>
          <t/>
        </is>
      </c>
      <c r="H115" s="2" t="inlineStr">
        <is>
          <t/>
        </is>
      </c>
      <c r="I115" s="2" t="inlineStr">
        <is>
          <t>0</t>
        </is>
      </c>
      <c r="J115" s="4"/>
      <c r="K115" s="2">
        <v>0</v>
      </c>
      <c r="L115" s="6"/>
      <c r="M115" s="2" t="str">
        <f>IF(J115="",ROUND(I115*(1-IF(ISBLANK(L115),K115,L115)/100),2),ROUND(J115*(1-IF(ISBLANK(L115),K115,L115)/100),2))</f>
      </c>
      <c r="N115" s="7" t="str">
        <f>IF(NOT(AND(J115="",L115="")),IF(OR(AND(L115&lt;&gt;"",NOT(ISNUMBER(L115))),IFERROR(MOD(L115,1),1)&gt;0,AND(ISNUMBER(L115),OR(L115&lt;0,L115&gt;95))),"Введите целое число от 0 до 95",IF(OR(AND(J115&lt;&gt;"",NOT(ISNUMBER(J115))),IFERROR(MOD(J115,1),1)&gt;0,AND(ISNUMBER(J115),OR(J115&lt;50,J115&gt;20000000))),"Введите целое число от 50 до 20000000",IF(NOT(ABS(IFERROR(VALUE(LEFT(M115,FIND("-",M115)-1)),M115)*100-(2500+2000000000)/2)&lt;=ABS(2500-2000000000)/2),"Цена со скидкой должна быть от 25 до 20000000",IF(IFERROR(VALUE(LEFT(M115,FIND("-",M115)-1)),M115)*220&lt;0,"Вы уменьшили цену в несколько раз, товар попадет в карантин цен",IF(AND(IFERROR(VALUE(I115),0)=0,ISNUMBER(J115),OR(J115&lt;248,ABS(IFERROR(VALUE(LEFT(M115,FIND("-",M115)-1)),M115))*100&lt;24800)),"Проверьте цену товара. Большинство товаров в выбранной категории стоят дороже 248",""))))),"")</f>
      </c>
    </row>
    <row r="116">
      <c r="A116" s="2" t="inlineStr">
        <is>
          <t/>
        </is>
      </c>
      <c r="B116" s="2" t="inlineStr">
        <is>
          <t>Кольца</t>
        </is>
      </c>
      <c r="C116" s="2">
        <v>734605444</v>
      </c>
      <c r="D116" s="2" t="inlineStr">
        <is>
          <t>124</t>
        </is>
      </c>
      <c r="E116" s="2" t="inlineStr">
        <is>
          <t>2048129755935</t>
        </is>
      </c>
      <c r="F116" s="2" t="inlineStr">
        <is>
          <t/>
        </is>
      </c>
      <c r="G116" s="2" t="inlineStr">
        <is>
          <t/>
        </is>
      </c>
      <c r="H116" s="2" t="inlineStr">
        <is>
          <t/>
        </is>
      </c>
      <c r="I116" s="2" t="inlineStr">
        <is>
          <t>0</t>
        </is>
      </c>
      <c r="J116" s="4"/>
      <c r="K116" s="2">
        <v>0</v>
      </c>
      <c r="L116" s="6"/>
      <c r="M116" s="2" t="str">
        <f>IF(J116="",ROUND(I116*(1-IF(ISBLANK(L116),K116,L116)/100),2),ROUND(J116*(1-IF(ISBLANK(L116),K116,L116)/100),2))</f>
      </c>
      <c r="N116" s="7" t="str">
        <f>IF(NOT(AND(J116="",L116="")),IF(OR(AND(L116&lt;&gt;"",NOT(ISNUMBER(L116))),IFERROR(MOD(L116,1),1)&gt;0,AND(ISNUMBER(L116),OR(L116&lt;0,L116&gt;95))),"Введите целое число от 0 до 95",IF(OR(AND(J116&lt;&gt;"",NOT(ISNUMBER(J116))),IFERROR(MOD(J116,1),1)&gt;0,AND(ISNUMBER(J116),OR(J116&lt;50,J116&gt;20000000))),"Введите целое число от 50 до 20000000",IF(NOT(ABS(IFERROR(VALUE(LEFT(M116,FIND("-",M116)-1)),M116)*100-(2500+2000000000)/2)&lt;=ABS(2500-2000000000)/2),"Цена со скидкой должна быть от 25 до 20000000",IF(IFERROR(VALUE(LEFT(M116,FIND("-",M116)-1)),M116)*220&lt;0,"Вы уменьшили цену в несколько раз, товар попадет в карантин цен",IF(AND(IFERROR(VALUE(I116),0)=0,ISNUMBER(J116),OR(J116&lt;248,ABS(IFERROR(VALUE(LEFT(M116,FIND("-",M116)-1)),M116))*100&lt;24800)),"Проверьте цену товара. Большинство товаров в выбранной категории стоят дороже 248",""))))),"")</f>
      </c>
    </row>
    <row r="117">
      <c r="A117" s="2" t="inlineStr">
        <is>
          <t/>
        </is>
      </c>
      <c r="B117" s="2" t="inlineStr">
        <is>
          <t>Кольца</t>
        </is>
      </c>
      <c r="C117" s="2">
        <v>734605393</v>
      </c>
      <c r="D117" s="2" t="inlineStr">
        <is>
          <t>117</t>
        </is>
      </c>
      <c r="E117" s="2" t="inlineStr">
        <is>
          <t>2048129755652</t>
        </is>
      </c>
      <c r="F117" s="2" t="inlineStr">
        <is>
          <t/>
        </is>
      </c>
      <c r="G117" s="2" t="inlineStr">
        <is>
          <t/>
        </is>
      </c>
      <c r="H117" s="2" t="inlineStr">
        <is>
          <t/>
        </is>
      </c>
      <c r="I117" s="2" t="inlineStr">
        <is>
          <t>0</t>
        </is>
      </c>
      <c r="J117" s="4"/>
      <c r="K117" s="2">
        <v>0</v>
      </c>
      <c r="L117" s="6"/>
      <c r="M117" s="2" t="str">
        <f>IF(J117="",ROUND(I117*(1-IF(ISBLANK(L117),K117,L117)/100),2),ROUND(J117*(1-IF(ISBLANK(L117),K117,L117)/100),2))</f>
      </c>
      <c r="N117" s="7" t="str">
        <f>IF(NOT(AND(J117="",L117="")),IF(OR(AND(L117&lt;&gt;"",NOT(ISNUMBER(L117))),IFERROR(MOD(L117,1),1)&gt;0,AND(ISNUMBER(L117),OR(L117&lt;0,L117&gt;95))),"Введите целое число от 0 до 95",IF(OR(AND(J117&lt;&gt;"",NOT(ISNUMBER(J117))),IFERROR(MOD(J117,1),1)&gt;0,AND(ISNUMBER(J117),OR(J117&lt;50,J117&gt;20000000))),"Введите целое число от 50 до 20000000",IF(NOT(ABS(IFERROR(VALUE(LEFT(M117,FIND("-",M117)-1)),M117)*100-(2500+2000000000)/2)&lt;=ABS(2500-2000000000)/2),"Цена со скидкой должна быть от 25 до 20000000",IF(IFERROR(VALUE(LEFT(M117,FIND("-",M117)-1)),M117)*220&lt;0,"Вы уменьшили цену в несколько раз, товар попадет в карантин цен",IF(AND(IFERROR(VALUE(I117),0)=0,ISNUMBER(J117),OR(J117&lt;248,ABS(IFERROR(VALUE(LEFT(M117,FIND("-",M117)-1)),M117))*100&lt;24800)),"Проверьте цену товара. Большинство товаров в выбранной категории стоят дороже 248",""))))),"")</f>
      </c>
    </row>
    <row r="118">
      <c r="A118" s="2" t="inlineStr">
        <is>
          <t>Крымский Хан</t>
        </is>
      </c>
      <c r="B118" s="2" t="inlineStr">
        <is>
          <t>Браслеты</t>
        </is>
      </c>
      <c r="C118" s="2">
        <v>266789971</v>
      </c>
      <c r="D118" s="2" t="inlineStr">
        <is>
          <t>19</t>
        </is>
      </c>
      <c r="E118" s="2" t="inlineStr">
        <is>
          <t>2041360527347</t>
        </is>
      </c>
      <c r="F118" s="2">
        <v>20</v>
      </c>
      <c r="G118" s="2">
        <v>0</v>
      </c>
      <c r="H118" s="2">
        <v>999</v>
      </c>
      <c r="I118" s="2" t="inlineStr">
        <is>
          <t>3530</t>
        </is>
      </c>
      <c r="J118" s="4"/>
      <c r="K118" s="2">
        <v>25</v>
      </c>
      <c r="L118" s="6"/>
      <c r="M118" s="2" t="str">
        <f>IF(J118="",ROUND(I118*(1-IF(ISBLANK(L118),K118,L118)/100),2),ROUND(J118*(1-IF(ISBLANK(L118),K118,L118)/100),2))</f>
      </c>
      <c r="N118" s="7" t="str">
        <f>IF(NOT(AND(J118="",L118="")),IF(OR(AND(L118&lt;&gt;"",NOT(ISNUMBER(L118))),IFERROR(MOD(L118,1),1)&gt;0,AND(ISNUMBER(L118),OR(L118&lt;0,L118&gt;95))),"Введите целое число от 0 до 95",IF(OR(AND(J118&lt;&gt;"",NOT(ISNUMBER(J118))),IFERROR(MOD(J118,1),1)&gt;0,AND(ISNUMBER(J118),OR(J118&lt;50,J118&gt;20000000))),"Введите целое число от 50 до 20000000",IF(NOT(ABS(IFERROR(VALUE(LEFT(M118,FIND("-",M118)-1)),M118)*100-(2500+2000000000)/2)&lt;=ABS(2500-2000000000)/2),"Цена со скидкой должна быть от 25 до 20000000",IF(IFERROR(VALUE(LEFT(M118,FIND("-",M118)-1)),M118)*220&lt;264750,"Вы уменьшили цену в несколько раз, товар попадет в карантин цен",IF(AND(IFERROR(VALUE(I118),0)=0,ISNUMBER(J118),OR(J118&lt;206,ABS(IFERROR(VALUE(LEFT(M118,FIND("-",M118)-1)),M118))*100&lt;20600)),"Проверьте цену товара. Большинство товаров в выбранной категории стоят дороже 206",""))))),"")</f>
      </c>
    </row>
    <row r="119">
      <c r="A119" s="2" t="inlineStr">
        <is>
          <t>Крымский Хан</t>
        </is>
      </c>
      <c r="B119" s="2" t="inlineStr">
        <is>
          <t>Браслеты</t>
        </is>
      </c>
      <c r="C119" s="2">
        <v>266789969</v>
      </c>
      <c r="D119" s="2" t="inlineStr">
        <is>
          <t>17</t>
        </is>
      </c>
      <c r="E119" s="2" t="inlineStr">
        <is>
          <t>2041360527323</t>
        </is>
      </c>
      <c r="F119" s="2">
        <v>2</v>
      </c>
      <c r="G119" s="2">
        <v>0</v>
      </c>
      <c r="H119" s="2">
        <v>82</v>
      </c>
      <c r="I119" s="2" t="inlineStr">
        <is>
          <t>3530</t>
        </is>
      </c>
      <c r="J119" s="4"/>
      <c r="K119" s="2">
        <v>31</v>
      </c>
      <c r="L119" s="6"/>
      <c r="M119" s="2" t="str">
        <f>IF(J119="",ROUND(I119*(1-IF(ISBLANK(L119),K119,L119)/100),2),ROUND(J119*(1-IF(ISBLANK(L119),K119,L119)/100),2))</f>
      </c>
      <c r="N119" s="7" t="str">
        <f>IF(NOT(AND(J119="",L119="")),IF(OR(AND(L119&lt;&gt;"",NOT(ISNUMBER(L119))),IFERROR(MOD(L119,1),1)&gt;0,AND(ISNUMBER(L119),OR(L119&lt;0,L119&gt;95))),"Введите целое число от 0 до 95",IF(OR(AND(J119&lt;&gt;"",NOT(ISNUMBER(J119))),IFERROR(MOD(J119,1),1)&gt;0,AND(ISNUMBER(J119),OR(J119&lt;50,J119&gt;20000000))),"Введите целое число от 50 до 20000000",IF(NOT(ABS(IFERROR(VALUE(LEFT(M119,FIND("-",M119)-1)),M119)*100-(2500+2000000000)/2)&lt;=ABS(2500-2000000000)/2),"Цена со скидкой должна быть от 25 до 20000000",IF(IFERROR(VALUE(LEFT(M119,FIND("-",M119)-1)),M119)*220&lt;243569,"Вы уменьшили цену в несколько раз, товар попадет в карантин цен",IF(AND(IFERROR(VALUE(I119),0)=0,ISNUMBER(J119),OR(J119&lt;206,ABS(IFERROR(VALUE(LEFT(M119,FIND("-",M119)-1)),M119))*100&lt;20600)),"Проверьте цену товара. Большинство товаров в выбранной категории стоят дороже 206",""))))),"")</f>
      </c>
    </row>
    <row r="120">
      <c r="A120" s="2" t="inlineStr">
        <is>
          <t>Крымский Хан</t>
        </is>
      </c>
      <c r="B120" s="2" t="inlineStr">
        <is>
          <t>Серьги</t>
        </is>
      </c>
      <c r="C120" s="2">
        <v>268147404</v>
      </c>
      <c r="D120" s="2" t="inlineStr">
        <is>
          <t>серьги 42</t>
        </is>
      </c>
      <c r="E120" s="2" t="inlineStr">
        <is>
          <t>2041388840060</t>
        </is>
      </c>
      <c r="F120" s="2">
        <v>156</v>
      </c>
      <c r="G120" s="2">
        <v>0</v>
      </c>
      <c r="H120" s="2">
        <v>406</v>
      </c>
      <c r="I120" s="2" t="inlineStr">
        <is>
          <t>3177</t>
        </is>
      </c>
      <c r="J120" s="4"/>
      <c r="K120" s="2">
        <v>36</v>
      </c>
      <c r="L120" s="6"/>
      <c r="M120" s="2" t="str">
        <f>IF(J120="",ROUND(I120*(1-IF(ISBLANK(L120),K120,L120)/100),2),ROUND(J120*(1-IF(ISBLANK(L120),K120,L120)/100),2))</f>
      </c>
      <c r="N120" s="7" t="str">
        <f>IF(NOT(AND(J120="",L120="")),IF(OR(AND(L120&lt;&gt;"",NOT(ISNUMBER(L120))),IFERROR(MOD(L120,1),1)&gt;0,AND(ISNUMBER(L120),OR(L120&lt;0,L120&gt;95))),"Введите целое число от 0 до 95",IF(OR(AND(J120&lt;&gt;"",NOT(ISNUMBER(J120))),IFERROR(MOD(J120,1),1)&gt;0,AND(ISNUMBER(J120),OR(J120&lt;50,J120&gt;20000000))),"Введите целое число от 50 до 20000000",IF(NOT(ABS(IFERROR(VALUE(LEFT(M120,FIND("-",M120)-1)),M120)*100-(2500+2000000000)/2)&lt;=ABS(2500-2000000000)/2),"Цена со скидкой должна быть от 25 до 20000000",IF(IFERROR(VALUE(LEFT(M120,FIND("-",M120)-1)),M120)*220&lt;203328,"Вы уменьшили цену в несколько раз, товар попадет в карантин цен",IF(AND(IFERROR(VALUE(I120),0)=0,ISNUMBER(J120),OR(J120&lt;211,ABS(IFERROR(VALUE(LEFT(M120,FIND("-",M120)-1)),M120))*100&lt;21100)),"Проверьте цену товара. Большинство товаров в выбранной категории стоят дороже 211",""))))),"")</f>
      </c>
    </row>
    <row r="121">
      <c r="A121" s="2" t="inlineStr">
        <is>
          <t>Крымский Хан</t>
        </is>
      </c>
      <c r="B121" s="2" t="inlineStr">
        <is>
          <t>Серьги</t>
        </is>
      </c>
      <c r="C121" s="2">
        <v>316654385</v>
      </c>
      <c r="D121" s="2" t="inlineStr">
        <is>
          <t>82</t>
        </is>
      </c>
      <c r="E121" s="2" t="inlineStr">
        <is>
          <t>2042574981437</t>
        </is>
      </c>
      <c r="F121" s="2">
        <v>8</v>
      </c>
      <c r="G121" s="2">
        <v>0</v>
      </c>
      <c r="H121" s="2">
        <v>9</v>
      </c>
      <c r="I121" s="2" t="inlineStr">
        <is>
          <t>2942</t>
        </is>
      </c>
      <c r="J121" s="4"/>
      <c r="K121" s="2">
        <v>38</v>
      </c>
      <c r="L121" s="6"/>
      <c r="M121" s="2" t="str">
        <f>IF(J121="",ROUND(I121*(1-IF(ISBLANK(L121),K121,L121)/100),2),ROUND(J121*(1-IF(ISBLANK(L121),K121,L121)/100),2))</f>
      </c>
      <c r="N121" s="7" t="str">
        <f>IF(NOT(AND(J121="",L121="")),IF(OR(AND(L121&lt;&gt;"",NOT(ISNUMBER(L121))),IFERROR(MOD(L121,1),1)&gt;0,AND(ISNUMBER(L121),OR(L121&lt;0,L121&gt;95))),"Введите целое число от 0 до 95",IF(OR(AND(J121&lt;&gt;"",NOT(ISNUMBER(J121))),IFERROR(MOD(J121,1),1)&gt;0,AND(ISNUMBER(J121),OR(J121&lt;50,J121&gt;20000000))),"Введите целое число от 50 до 20000000",IF(NOT(ABS(IFERROR(VALUE(LEFT(M121,FIND("-",M121)-1)),M121)*100-(2500+2000000000)/2)&lt;=ABS(2500-2000000000)/2),"Цена со скидкой должна быть от 25 до 20000000",IF(IFERROR(VALUE(LEFT(M121,FIND("-",M121)-1)),M121)*220&lt;182404,"Вы уменьшили цену в несколько раз, товар попадет в карантин цен",IF(AND(IFERROR(VALUE(I121),0)=0,ISNUMBER(J121),OR(J121&lt;211,ABS(IFERROR(VALUE(LEFT(M121,FIND("-",M121)-1)),M121))*100&lt;21100)),"Проверьте цену товара. Большинство товаров в выбранной категории стоят дороже 211",""))))),"")</f>
      </c>
    </row>
    <row r="122">
      <c r="A122" s="2" t="inlineStr">
        <is>
          <t/>
        </is>
      </c>
      <c r="B122" s="2" t="inlineStr">
        <is>
          <t>Браслеты</t>
        </is>
      </c>
      <c r="C122" s="2">
        <v>328804914</v>
      </c>
      <c r="D122" s="2" t="inlineStr">
        <is>
          <t>75</t>
        </is>
      </c>
      <c r="E122" s="2" t="inlineStr">
        <is>
          <t>2042793689794</t>
        </is>
      </c>
      <c r="F122" s="2">
        <v>5</v>
      </c>
      <c r="G122" s="2">
        <v>0</v>
      </c>
      <c r="H122" s="2">
        <v>999</v>
      </c>
      <c r="I122" s="2" t="inlineStr">
        <is>
          <t>3530</t>
        </is>
      </c>
      <c r="J122" s="4"/>
      <c r="K122" s="2">
        <v>32</v>
      </c>
      <c r="L122" s="6"/>
      <c r="M122" s="2" t="str">
        <f>IF(J122="",ROUND(I122*(1-IF(ISBLANK(L122),K122,L122)/100),2),ROUND(J122*(1-IF(ISBLANK(L122),K122,L122)/100),2))</f>
      </c>
      <c r="N122" s="7" t="str">
        <f>IF(NOT(AND(J122="",L122="")),IF(OR(AND(L122&lt;&gt;"",NOT(ISNUMBER(L122))),IFERROR(MOD(L122,1),1)&gt;0,AND(ISNUMBER(L122),OR(L122&lt;0,L122&gt;95))),"Введите целое число от 0 до 95",IF(OR(AND(J122&lt;&gt;"",NOT(ISNUMBER(J122))),IFERROR(MOD(J122,1),1)&gt;0,AND(ISNUMBER(J122),OR(J122&lt;50,J122&gt;20000000))),"Введите целое число от 50 до 20000000",IF(NOT(ABS(IFERROR(VALUE(LEFT(M122,FIND("-",M122)-1)),M122)*100-(2500+2000000000)/2)&lt;=ABS(2500-2000000000)/2),"Цена со скидкой должна быть от 25 до 20000000",IF(IFERROR(VALUE(LEFT(M122,FIND("-",M122)-1)),M122)*220&lt;240039,"Вы уменьшили цену в несколько раз, товар попадет в карантин цен",IF(AND(IFERROR(VALUE(I122),0)=0,ISNUMBER(J122),OR(J122&lt;206,ABS(IFERROR(VALUE(LEFT(M122,FIND("-",M122)-1)),M122))*100&lt;20600)),"Проверьте цену товара. Большинство товаров в выбранной категории стоят дороже 206",""))))),"")</f>
      </c>
    </row>
    <row r="123">
      <c r="A123" s="2" t="inlineStr">
        <is>
          <t>Крымский Хан</t>
        </is>
      </c>
      <c r="B123" s="2" t="inlineStr">
        <is>
          <t>Серьги</t>
        </is>
      </c>
      <c r="C123" s="2">
        <v>316654404</v>
      </c>
      <c r="D123" s="2" t="inlineStr">
        <is>
          <t>100</t>
        </is>
      </c>
      <c r="E123" s="2" t="inlineStr">
        <is>
          <t>2042574981611</t>
        </is>
      </c>
      <c r="F123" s="2">
        <v>4</v>
      </c>
      <c r="G123" s="2">
        <v>0</v>
      </c>
      <c r="H123" s="2">
        <v>999</v>
      </c>
      <c r="I123" s="2" t="inlineStr">
        <is>
          <t>2942</t>
        </is>
      </c>
      <c r="J123" s="4"/>
      <c r="K123" s="2">
        <v>45</v>
      </c>
      <c r="L123" s="6"/>
      <c r="M123" s="2" t="str">
        <f>IF(J123="",ROUND(I123*(1-IF(ISBLANK(L123),K123,L123)/100),2),ROUND(J123*(1-IF(ISBLANK(L123),K123,L123)/100),2))</f>
      </c>
      <c r="N123" s="7" t="str">
        <f>IF(NOT(AND(J123="",L123="")),IF(OR(AND(L123&lt;&gt;"",NOT(ISNUMBER(L123))),IFERROR(MOD(L123,1),1)&gt;0,AND(ISNUMBER(L123),OR(L123&lt;0,L123&gt;95))),"Введите целое число от 0 до 95",IF(OR(AND(J123&lt;&gt;"",NOT(ISNUMBER(J123))),IFERROR(MOD(J123,1),1)&gt;0,AND(ISNUMBER(J123),OR(J123&lt;50,J123&gt;20000000))),"Введите целое число от 50 до 20000000",IF(NOT(ABS(IFERROR(VALUE(LEFT(M123,FIND("-",M123)-1)),M123)*100-(2500+2000000000)/2)&lt;=ABS(2500-2000000000)/2),"Цена со скидкой должна быть от 25 до 20000000",IF(IFERROR(VALUE(LEFT(M123,FIND("-",M123)-1)),M123)*220&lt;161810,"Вы уменьшили цену в несколько раз, товар попадет в карантин цен",IF(AND(IFERROR(VALUE(I123),0)=0,ISNUMBER(J123),OR(J123&lt;211,ABS(IFERROR(VALUE(LEFT(M123,FIND("-",M123)-1)),M123))*100&lt;21100)),"Проверьте цену товара. Большинство товаров в выбранной категории стоят дороже 211",""))))),"")</f>
      </c>
    </row>
    <row r="124">
      <c r="A124" s="2" t="inlineStr">
        <is>
          <t/>
        </is>
      </c>
      <c r="B124" s="2" t="inlineStr">
        <is>
          <t>Кольца</t>
        </is>
      </c>
      <c r="C124" s="2">
        <v>734605464</v>
      </c>
      <c r="D124" s="2" t="inlineStr">
        <is>
          <t>143</t>
        </is>
      </c>
      <c r="E124" s="2" t="inlineStr">
        <is>
          <t>2048129756505</t>
        </is>
      </c>
      <c r="F124" s="2" t="inlineStr">
        <is>
          <t/>
        </is>
      </c>
      <c r="G124" s="2" t="inlineStr">
        <is>
          <t/>
        </is>
      </c>
      <c r="H124" s="2" t="inlineStr">
        <is>
          <t/>
        </is>
      </c>
      <c r="I124" s="2" t="inlineStr">
        <is>
          <t>0</t>
        </is>
      </c>
      <c r="J124" s="4"/>
      <c r="K124" s="2">
        <v>0</v>
      </c>
      <c r="L124" s="6"/>
      <c r="M124" s="2" t="str">
        <f>IF(J124="",ROUND(I124*(1-IF(ISBLANK(L124),K124,L124)/100),2),ROUND(J124*(1-IF(ISBLANK(L124),K124,L124)/100),2))</f>
      </c>
      <c r="N124" s="7" t="str">
        <f>IF(NOT(AND(J124="",L124="")),IF(OR(AND(L124&lt;&gt;"",NOT(ISNUMBER(L124))),IFERROR(MOD(L124,1),1)&gt;0,AND(ISNUMBER(L124),OR(L124&lt;0,L124&gt;95))),"Введите целое число от 0 до 95",IF(OR(AND(J124&lt;&gt;"",NOT(ISNUMBER(J124))),IFERROR(MOD(J124,1),1)&gt;0,AND(ISNUMBER(J124),OR(J124&lt;50,J124&gt;20000000))),"Введите целое число от 50 до 20000000",IF(NOT(ABS(IFERROR(VALUE(LEFT(M124,FIND("-",M124)-1)),M124)*100-(2500+2000000000)/2)&lt;=ABS(2500-2000000000)/2),"Цена со скидкой должна быть от 25 до 20000000",IF(IFERROR(VALUE(LEFT(M124,FIND("-",M124)-1)),M124)*220&lt;0,"Вы уменьшили цену в несколько раз, товар попадет в карантин цен",IF(AND(IFERROR(VALUE(I124),0)=0,ISNUMBER(J124),OR(J124&lt;248,ABS(IFERROR(VALUE(LEFT(M124,FIND("-",M124)-1)),M124))*100&lt;24800)),"Проверьте цену товара. Большинство товаров в выбранной категории стоят дороже 248",""))))),"")</f>
      </c>
    </row>
    <row r="125">
      <c r="A125" s="2" t="inlineStr">
        <is>
          <t/>
        </is>
      </c>
      <c r="B125" s="2" t="inlineStr">
        <is>
          <t>Кольца</t>
        </is>
      </c>
      <c r="C125" s="2">
        <v>734605447</v>
      </c>
      <c r="D125" s="2" t="inlineStr">
        <is>
          <t>127</t>
        </is>
      </c>
      <c r="E125" s="2" t="inlineStr">
        <is>
          <t>2048129756031</t>
        </is>
      </c>
      <c r="F125" s="2">
        <v>21</v>
      </c>
      <c r="G125" s="2">
        <v>0</v>
      </c>
      <c r="H125" s="2">
        <v>999</v>
      </c>
      <c r="I125" s="2" t="inlineStr">
        <is>
          <t>0</t>
        </is>
      </c>
      <c r="J125" s="4"/>
      <c r="K125" s="2">
        <v>0</v>
      </c>
      <c r="L125" s="6"/>
      <c r="M125" s="2" t="str">
        <f>IF(J125="",ROUND(I125*(1-IF(ISBLANK(L125),K125,L125)/100),2),ROUND(J125*(1-IF(ISBLANK(L125),K125,L125)/100),2))</f>
      </c>
      <c r="N125" s="7" t="str">
        <f>IF(NOT(AND(J125="",L125="")),IF(OR(AND(L125&lt;&gt;"",NOT(ISNUMBER(L125))),IFERROR(MOD(L125,1),1)&gt;0,AND(ISNUMBER(L125),OR(L125&lt;0,L125&gt;95))),"Введите целое число от 0 до 95",IF(OR(AND(J125&lt;&gt;"",NOT(ISNUMBER(J125))),IFERROR(MOD(J125,1),1)&gt;0,AND(ISNUMBER(J125),OR(J125&lt;50,J125&gt;20000000))),"Введите целое число от 50 до 20000000",IF(NOT(ABS(IFERROR(VALUE(LEFT(M125,FIND("-",M125)-1)),M125)*100-(2500+2000000000)/2)&lt;=ABS(2500-2000000000)/2),"Цена со скидкой должна быть от 25 до 20000000",IF(IFERROR(VALUE(LEFT(M125,FIND("-",M125)-1)),M125)*220&lt;0,"Вы уменьшили цену в несколько раз, товар попадет в карантин цен",IF(AND(IFERROR(VALUE(I125),0)=0,ISNUMBER(J125),OR(J125&lt;248,ABS(IFERROR(VALUE(LEFT(M125,FIND("-",M125)-1)),M125))*100&lt;24800)),"Проверьте цену товара. Большинство товаров в выбранной категории стоят дороже 248",""))))),"")</f>
      </c>
    </row>
    <row r="126">
      <c r="A126" s="2" t="inlineStr">
        <is>
          <t>Крымский Хан</t>
        </is>
      </c>
      <c r="B126" s="2" t="inlineStr">
        <is>
          <t>Серьги</t>
        </is>
      </c>
      <c r="C126" s="2">
        <v>316654401</v>
      </c>
      <c r="D126" s="2" t="inlineStr">
        <is>
          <t>98</t>
        </is>
      </c>
      <c r="E126" s="2" t="inlineStr">
        <is>
          <t>2042574981598</t>
        </is>
      </c>
      <c r="F126" s="2">
        <v>2</v>
      </c>
      <c r="G126" s="2">
        <v>0</v>
      </c>
      <c r="H126" s="2">
        <v>74</v>
      </c>
      <c r="I126" s="2" t="inlineStr">
        <is>
          <t>2942</t>
        </is>
      </c>
      <c r="J126" s="4"/>
      <c r="K126" s="2">
        <v>33</v>
      </c>
      <c r="L126" s="6"/>
      <c r="M126" s="2" t="str">
        <f>IF(J126="",ROUND(I126*(1-IF(ISBLANK(L126),K126,L126)/100),2),ROUND(J126*(1-IF(ISBLANK(L126),K126,L126)/100),2))</f>
      </c>
      <c r="N126" s="7" t="str">
        <f>IF(NOT(AND(J126="",L126="")),IF(OR(AND(L126&lt;&gt;"",NOT(ISNUMBER(L126))),IFERROR(MOD(L126,1),1)&gt;0,AND(ISNUMBER(L126),OR(L126&lt;0,L126&gt;95))),"Введите целое число от 0 до 95",IF(OR(AND(J126&lt;&gt;"",NOT(ISNUMBER(J126))),IFERROR(MOD(J126,1),1)&gt;0,AND(ISNUMBER(J126),OR(J126&lt;50,J126&gt;20000000))),"Введите целое число от 50 до 20000000",IF(NOT(ABS(IFERROR(VALUE(LEFT(M126,FIND("-",M126)-1)),M126)*100-(2500+2000000000)/2)&lt;=ABS(2500-2000000000)/2),"Цена со скидкой должна быть от 25 до 20000000",IF(IFERROR(VALUE(LEFT(M126,FIND("-",M126)-1)),M126)*220&lt;197114,"Вы уменьшили цену в несколько раз, товар попадет в карантин цен",IF(AND(IFERROR(VALUE(I126),0)=0,ISNUMBER(J126),OR(J126&lt;211,ABS(IFERROR(VALUE(LEFT(M126,FIND("-",M126)-1)),M126))*100&lt;21100)),"Проверьте цену товара. Большинство товаров в выбранной категории стоят дороже 211",""))))),"")</f>
      </c>
    </row>
    <row r="127">
      <c r="A127" s="2" t="inlineStr">
        <is>
          <t/>
        </is>
      </c>
      <c r="B127" s="2" t="inlineStr">
        <is>
          <t>Серьги</t>
        </is>
      </c>
      <c r="C127" s="2">
        <v>734549769</v>
      </c>
      <c r="D127" s="2" t="inlineStr">
        <is>
          <t>156</t>
        </is>
      </c>
      <c r="E127" s="2" t="inlineStr">
        <is>
          <t>2048129076368</t>
        </is>
      </c>
      <c r="F127" s="2" t="inlineStr">
        <is>
          <t/>
        </is>
      </c>
      <c r="G127" s="2" t="inlineStr">
        <is>
          <t/>
        </is>
      </c>
      <c r="H127" s="2" t="inlineStr">
        <is>
          <t/>
        </is>
      </c>
      <c r="I127" s="2" t="inlineStr">
        <is>
          <t>3000</t>
        </is>
      </c>
      <c r="J127" s="4"/>
      <c r="K127" s="2">
        <v>5</v>
      </c>
      <c r="L127" s="6"/>
      <c r="M127" s="2" t="str">
        <f>IF(J127="",ROUND(I127*(1-IF(ISBLANK(L127),K127,L127)/100),2),ROUND(J127*(1-IF(ISBLANK(L127),K127,L127)/100),2))</f>
      </c>
      <c r="N127" s="7" t="str">
        <f>IF(NOT(AND(J127="",L127="")),IF(OR(AND(L127&lt;&gt;"",NOT(ISNUMBER(L127))),IFERROR(MOD(L127,1),1)&gt;0,AND(ISNUMBER(L127),OR(L127&lt;0,L127&gt;95))),"Введите целое число от 0 до 95",IF(OR(AND(J127&lt;&gt;"",NOT(ISNUMBER(J127))),IFERROR(MOD(J127,1),1)&gt;0,AND(ISNUMBER(J127),OR(J127&lt;50,J127&gt;20000000))),"Введите целое число от 50 до 20000000",IF(NOT(ABS(IFERROR(VALUE(LEFT(M127,FIND("-",M127)-1)),M127)*100-(2500+2000000000)/2)&lt;=ABS(2500-2000000000)/2),"Цена со скидкой должна быть от 25 до 20000000",IF(IFERROR(VALUE(LEFT(M127,FIND("-",M127)-1)),M127)*220&lt;285000,"Вы уменьшили цену в несколько раз, товар попадет в карантин цен",IF(AND(IFERROR(VALUE(I127),0)=0,ISNUMBER(J127),OR(J127&lt;211,ABS(IFERROR(VALUE(LEFT(M127,FIND("-",M127)-1)),M127))*100&lt;21100)),"Проверьте цену товара. Большинство товаров в выбранной категории стоят дороже 211",""))))),"")</f>
      </c>
    </row>
    <row r="128">
      <c r="A128" s="2" t="inlineStr">
        <is>
          <t/>
        </is>
      </c>
      <c r="B128" s="2" t="inlineStr">
        <is>
          <t>Серьги</t>
        </is>
      </c>
      <c r="C128" s="2">
        <v>734549767</v>
      </c>
      <c r="D128" s="2" t="inlineStr">
        <is>
          <t>154</t>
        </is>
      </c>
      <c r="E128" s="2" t="inlineStr">
        <is>
          <t>2048129076337</t>
        </is>
      </c>
      <c r="F128" s="2" t="inlineStr">
        <is>
          <t/>
        </is>
      </c>
      <c r="G128" s="2" t="inlineStr">
        <is>
          <t/>
        </is>
      </c>
      <c r="H128" s="2" t="inlineStr">
        <is>
          <t/>
        </is>
      </c>
      <c r="I128" s="2" t="inlineStr">
        <is>
          <t>3000</t>
        </is>
      </c>
      <c r="J128" s="4"/>
      <c r="K128" s="2">
        <v>5</v>
      </c>
      <c r="L128" s="6"/>
      <c r="M128" s="2" t="str">
        <f>IF(J128="",ROUND(I128*(1-IF(ISBLANK(L128),K128,L128)/100),2),ROUND(J128*(1-IF(ISBLANK(L128),K128,L128)/100),2))</f>
      </c>
      <c r="N128" s="7" t="str">
        <f>IF(NOT(AND(J128="",L128="")),IF(OR(AND(L128&lt;&gt;"",NOT(ISNUMBER(L128))),IFERROR(MOD(L128,1),1)&gt;0,AND(ISNUMBER(L128),OR(L128&lt;0,L128&gt;95))),"Введите целое число от 0 до 95",IF(OR(AND(J128&lt;&gt;"",NOT(ISNUMBER(J128))),IFERROR(MOD(J128,1),1)&gt;0,AND(ISNUMBER(J128),OR(J128&lt;50,J128&gt;20000000))),"Введите целое число от 50 до 20000000",IF(NOT(ABS(IFERROR(VALUE(LEFT(M128,FIND("-",M128)-1)),M128)*100-(2500+2000000000)/2)&lt;=ABS(2500-2000000000)/2),"Цена со скидкой должна быть от 25 до 20000000",IF(IFERROR(VALUE(LEFT(M128,FIND("-",M128)-1)),M128)*220&lt;285000,"Вы уменьшили цену в несколько раз, товар попадет в карантин цен",IF(AND(IFERROR(VALUE(I128),0)=0,ISNUMBER(J128),OR(J128&lt;211,ABS(IFERROR(VALUE(LEFT(M128,FIND("-",M128)-1)),M128))*100&lt;21100)),"Проверьте цену товара. Большинство товаров в выбранной категории стоят дороже 211",""))))),"")</f>
      </c>
    </row>
    <row r="129">
      <c r="A129" s="2" t="inlineStr">
        <is>
          <t/>
        </is>
      </c>
      <c r="B129" s="2" t="inlineStr">
        <is>
          <t>Серьги</t>
        </is>
      </c>
      <c r="C129" s="2">
        <v>734549768</v>
      </c>
      <c r="D129" s="2" t="inlineStr">
        <is>
          <t>155</t>
        </is>
      </c>
      <c r="E129" s="2" t="inlineStr">
        <is>
          <t>2048129076351</t>
        </is>
      </c>
      <c r="F129" s="2" t="inlineStr">
        <is>
          <t/>
        </is>
      </c>
      <c r="G129" s="2" t="inlineStr">
        <is>
          <t/>
        </is>
      </c>
      <c r="H129" s="2" t="inlineStr">
        <is>
          <t/>
        </is>
      </c>
      <c r="I129" s="2" t="inlineStr">
        <is>
          <t>3000</t>
        </is>
      </c>
      <c r="J129" s="4"/>
      <c r="K129" s="2">
        <v>5</v>
      </c>
      <c r="L129" s="6"/>
      <c r="M129" s="2" t="str">
        <f>IF(J129="",ROUND(I129*(1-IF(ISBLANK(L129),K129,L129)/100),2),ROUND(J129*(1-IF(ISBLANK(L129),K129,L129)/100),2))</f>
      </c>
      <c r="N129" s="7" t="str">
        <f>IF(NOT(AND(J129="",L129="")),IF(OR(AND(L129&lt;&gt;"",NOT(ISNUMBER(L129))),IFERROR(MOD(L129,1),1)&gt;0,AND(ISNUMBER(L129),OR(L129&lt;0,L129&gt;95))),"Введите целое число от 0 до 95",IF(OR(AND(J129&lt;&gt;"",NOT(ISNUMBER(J129))),IFERROR(MOD(J129,1),1)&gt;0,AND(ISNUMBER(J129),OR(J129&lt;50,J129&gt;20000000))),"Введите целое число от 50 до 20000000",IF(NOT(ABS(IFERROR(VALUE(LEFT(M129,FIND("-",M129)-1)),M129)*100-(2500+2000000000)/2)&lt;=ABS(2500-2000000000)/2),"Цена со скидкой должна быть от 25 до 20000000",IF(IFERROR(VALUE(LEFT(M129,FIND("-",M129)-1)),M129)*220&lt;285000,"Вы уменьшили цену в несколько раз, товар попадет в карантин цен",IF(AND(IFERROR(VALUE(I129),0)=0,ISNUMBER(J129),OR(J129&lt;211,ABS(IFERROR(VALUE(LEFT(M129,FIND("-",M129)-1)),M129))*100&lt;21100)),"Проверьте цену товара. Большинство товаров в выбранной категории стоят дороже 211",""))))),"")</f>
      </c>
    </row>
    <row r="130">
      <c r="A130" s="2" t="inlineStr">
        <is>
          <t>Крымский Хан</t>
        </is>
      </c>
      <c r="B130" s="2" t="inlineStr">
        <is>
          <t>Серьги</t>
        </is>
      </c>
      <c r="C130" s="2">
        <v>316654396</v>
      </c>
      <c r="D130" s="2" t="inlineStr">
        <is>
          <t>93</t>
        </is>
      </c>
      <c r="E130" s="2" t="inlineStr">
        <is>
          <t>2042574981543</t>
        </is>
      </c>
      <c r="F130" s="2">
        <v>16</v>
      </c>
      <c r="G130" s="2">
        <v>0</v>
      </c>
      <c r="H130" s="2">
        <v>483</v>
      </c>
      <c r="I130" s="2" t="inlineStr">
        <is>
          <t>2942</t>
        </is>
      </c>
      <c r="J130" s="4"/>
      <c r="K130" s="2">
        <v>44</v>
      </c>
      <c r="L130" s="6"/>
      <c r="M130" s="2" t="str">
        <f>IF(J130="",ROUND(I130*(1-IF(ISBLANK(L130),K130,L130)/100),2),ROUND(J130*(1-IF(ISBLANK(L130),K130,L130)/100),2))</f>
      </c>
      <c r="N130" s="7" t="str">
        <f>IF(NOT(AND(J130="",L130="")),IF(OR(AND(L130&lt;&gt;"",NOT(ISNUMBER(L130))),IFERROR(MOD(L130,1),1)&gt;0,AND(ISNUMBER(L130),OR(L130&lt;0,L130&gt;95))),"Введите целое число от 0 до 95",IF(OR(AND(J130&lt;&gt;"",NOT(ISNUMBER(J130))),IFERROR(MOD(J130,1),1)&gt;0,AND(ISNUMBER(J130),OR(J130&lt;50,J130&gt;20000000))),"Введите целое число от 50 до 20000000",IF(NOT(ABS(IFERROR(VALUE(LEFT(M130,FIND("-",M130)-1)),M130)*100-(2500+2000000000)/2)&lt;=ABS(2500-2000000000)/2),"Цена со скидкой должна быть от 25 до 20000000",IF(IFERROR(VALUE(LEFT(M130,FIND("-",M130)-1)),M130)*220&lt;164752,"Вы уменьшили цену в несколько раз, товар попадет в карантин цен",IF(AND(IFERROR(VALUE(I130),0)=0,ISNUMBER(J130),OR(J130&lt;211,ABS(IFERROR(VALUE(LEFT(M130,FIND("-",M130)-1)),M130))*100&lt;21100)),"Проверьте цену товара. Большинство товаров в выбранной категории стоят дороже 211",""))))),"")</f>
      </c>
    </row>
    <row r="131">
      <c r="A131" s="2" t="inlineStr">
        <is>
          <t>Крымский Хан</t>
        </is>
      </c>
      <c r="B131" s="2" t="inlineStr">
        <is>
          <t>Браслеты</t>
        </is>
      </c>
      <c r="C131" s="2">
        <v>266789962</v>
      </c>
      <c r="D131" s="2" t="inlineStr">
        <is>
          <t>10</t>
        </is>
      </c>
      <c r="E131" s="2" t="inlineStr">
        <is>
          <t>2041360527255</t>
        </is>
      </c>
      <c r="F131" s="2">
        <v>14</v>
      </c>
      <c r="G131" s="2">
        <v>0</v>
      </c>
      <c r="H131" s="2">
        <v>216</v>
      </c>
      <c r="I131" s="2" t="inlineStr">
        <is>
          <t>3530</t>
        </is>
      </c>
      <c r="J131" s="4"/>
      <c r="K131" s="2">
        <v>51</v>
      </c>
      <c r="L131" s="6"/>
      <c r="M131" s="2" t="str">
        <f>IF(J131="",ROUND(I131*(1-IF(ISBLANK(L131),K131,L131)/100),2),ROUND(J131*(1-IF(ISBLANK(L131),K131,L131)/100),2))</f>
      </c>
      <c r="N131" s="7" t="str">
        <f>IF(NOT(AND(J131="",L131="")),IF(OR(AND(L131&lt;&gt;"",NOT(ISNUMBER(L131))),IFERROR(MOD(L131,1),1)&gt;0,AND(ISNUMBER(L131),OR(L131&lt;0,L131&gt;95))),"Введите целое число от 0 до 95",IF(OR(AND(J131&lt;&gt;"",NOT(ISNUMBER(J131))),IFERROR(MOD(J131,1),1)&gt;0,AND(ISNUMBER(J131),OR(J131&lt;50,J131&gt;20000000))),"Введите целое число от 50 до 20000000",IF(NOT(ABS(IFERROR(VALUE(LEFT(M131,FIND("-",M131)-1)),M131)*100-(2500+2000000000)/2)&lt;=ABS(2500-2000000000)/2),"Цена со скидкой должна быть от 25 до 20000000",IF(IFERROR(VALUE(LEFT(M131,FIND("-",M131)-1)),M131)*220&lt;172970,"Вы уменьшили цену в несколько раз, товар попадет в карантин цен",IF(AND(IFERROR(VALUE(I131),0)=0,ISNUMBER(J131),OR(J131&lt;206,ABS(IFERROR(VALUE(LEFT(M131,FIND("-",M131)-1)),M131))*100&lt;20600)),"Проверьте цену товара. Большинство товаров в выбранной категории стоят дороже 206",""))))),"")</f>
      </c>
    </row>
    <row r="132">
      <c r="A132" s="2" t="inlineStr">
        <is>
          <t>Крымский Хан</t>
        </is>
      </c>
      <c r="B132" s="2" t="inlineStr">
        <is>
          <t>Браслеты</t>
        </is>
      </c>
      <c r="C132" s="2">
        <v>266789970</v>
      </c>
      <c r="D132" s="2" t="inlineStr">
        <is>
          <t>18</t>
        </is>
      </c>
      <c r="E132" s="2" t="inlineStr">
        <is>
          <t>2041360527330</t>
        </is>
      </c>
      <c r="F132" s="2">
        <v>12</v>
      </c>
      <c r="G132" s="2">
        <v>0</v>
      </c>
      <c r="H132" s="2">
        <v>999</v>
      </c>
      <c r="I132" s="2" t="inlineStr">
        <is>
          <t>3530</t>
        </is>
      </c>
      <c r="J132" s="4"/>
      <c r="K132" s="2">
        <v>30</v>
      </c>
      <c r="L132" s="6"/>
      <c r="M132" s="2" t="str">
        <f>IF(J132="",ROUND(I132*(1-IF(ISBLANK(L132),K132,L132)/100),2),ROUND(J132*(1-IF(ISBLANK(L132),K132,L132)/100),2))</f>
      </c>
      <c r="N132" s="7" t="str">
        <f>IF(NOT(AND(J132="",L132="")),IF(OR(AND(L132&lt;&gt;"",NOT(ISNUMBER(L132))),IFERROR(MOD(L132,1),1)&gt;0,AND(ISNUMBER(L132),OR(L132&lt;0,L132&gt;95))),"Введите целое число от 0 до 95",IF(OR(AND(J132&lt;&gt;"",NOT(ISNUMBER(J132))),IFERROR(MOD(J132,1),1)&gt;0,AND(ISNUMBER(J132),OR(J132&lt;50,J132&gt;20000000))),"Введите целое число от 50 до 20000000",IF(NOT(ABS(IFERROR(VALUE(LEFT(M132,FIND("-",M132)-1)),M132)*100-(2500+2000000000)/2)&lt;=ABS(2500-2000000000)/2),"Цена со скидкой должна быть от 25 до 20000000",IF(IFERROR(VALUE(LEFT(M132,FIND("-",M132)-1)),M132)*220&lt;247100,"Вы уменьшили цену в несколько раз, товар попадет в карантин цен",IF(AND(IFERROR(VALUE(I132),0)=0,ISNUMBER(J132),OR(J132&lt;206,ABS(IFERROR(VALUE(LEFT(M132,FIND("-",M132)-1)),M132))*100&lt;20600)),"Проверьте цену товара. Большинство товаров в выбранной категории стоят дороже 206",""))))),"")</f>
      </c>
    </row>
    <row r="133">
      <c r="A133" s="2" t="inlineStr">
        <is>
          <t>Крымский Хан</t>
        </is>
      </c>
      <c r="B133" s="2" t="inlineStr">
        <is>
          <t>Серьги</t>
        </is>
      </c>
      <c r="C133" s="2">
        <v>316654392</v>
      </c>
      <c r="D133" s="2" t="inlineStr">
        <is>
          <t>89</t>
        </is>
      </c>
      <c r="E133" s="2" t="inlineStr">
        <is>
          <t>2042574981505</t>
        </is>
      </c>
      <c r="F133" s="2">
        <v>0</v>
      </c>
      <c r="G133" s="2">
        <v>0</v>
      </c>
      <c r="H133" s="2">
        <v>15</v>
      </c>
      <c r="I133" s="2" t="inlineStr">
        <is>
          <t>2942</t>
        </is>
      </c>
      <c r="J133" s="4"/>
      <c r="K133" s="2">
        <v>36</v>
      </c>
      <c r="L133" s="6"/>
      <c r="M133" s="2" t="str">
        <f>IF(J133="",ROUND(I133*(1-IF(ISBLANK(L133),K133,L133)/100),2),ROUND(J133*(1-IF(ISBLANK(L133),K133,L133)/100),2))</f>
      </c>
      <c r="N133" s="7" t="str">
        <f>IF(NOT(AND(J133="",L133="")),IF(OR(AND(L133&lt;&gt;"",NOT(ISNUMBER(L133))),IFERROR(MOD(L133,1),1)&gt;0,AND(ISNUMBER(L133),OR(L133&lt;0,L133&gt;95))),"Введите целое число от 0 до 95",IF(OR(AND(J133&lt;&gt;"",NOT(ISNUMBER(J133))),IFERROR(MOD(J133,1),1)&gt;0,AND(ISNUMBER(J133),OR(J133&lt;50,J133&gt;20000000))),"Введите целое число от 50 до 20000000",IF(NOT(ABS(IFERROR(VALUE(LEFT(M133,FIND("-",M133)-1)),M133)*100-(2500+2000000000)/2)&lt;=ABS(2500-2000000000)/2),"Цена со скидкой должна быть от 25 до 20000000",IF(IFERROR(VALUE(LEFT(M133,FIND("-",M133)-1)),M133)*220&lt;188288,"Вы уменьшили цену в несколько раз, товар попадет в карантин цен",IF(AND(IFERROR(VALUE(I133),0)=0,ISNUMBER(J133),OR(J133&lt;211,ABS(IFERROR(VALUE(LEFT(M133,FIND("-",M133)-1)),M133))*100&lt;21100)),"Проверьте цену товара. Большинство товаров в выбранной категории стоят дороже 211",""))))),"")</f>
      </c>
    </row>
    <row r="134">
      <c r="A134" s="2" t="inlineStr">
        <is>
          <t>Крымский Хан</t>
        </is>
      </c>
      <c r="B134" s="2" t="inlineStr">
        <is>
          <t>Браслеты</t>
        </is>
      </c>
      <c r="C134" s="2">
        <v>266789955</v>
      </c>
      <c r="D134" s="2" t="inlineStr">
        <is>
          <t>3</t>
        </is>
      </c>
      <c r="E134" s="2" t="inlineStr">
        <is>
          <t>2041360527187</t>
        </is>
      </c>
      <c r="F134" s="2">
        <v>5</v>
      </c>
      <c r="G134" s="2">
        <v>0</v>
      </c>
      <c r="H134" s="2">
        <v>179</v>
      </c>
      <c r="I134" s="2" t="inlineStr">
        <is>
          <t>3530</t>
        </is>
      </c>
      <c r="J134" s="4"/>
      <c r="K134" s="2">
        <v>42</v>
      </c>
      <c r="L134" s="6"/>
      <c r="M134" s="2" t="str">
        <f>IF(J134="",ROUND(I134*(1-IF(ISBLANK(L134),K134,L134)/100),2),ROUND(J134*(1-IF(ISBLANK(L134),K134,L134)/100),2))</f>
      </c>
      <c r="N134" s="7" t="str">
        <f>IF(NOT(AND(J134="",L134="")),IF(OR(AND(L134&lt;&gt;"",NOT(ISNUMBER(L134))),IFERROR(MOD(L134,1),1)&gt;0,AND(ISNUMBER(L134),OR(L134&lt;0,L134&gt;95))),"Введите целое число от 0 до 95",IF(OR(AND(J134&lt;&gt;"",NOT(ISNUMBER(J134))),IFERROR(MOD(J134,1),1)&gt;0,AND(ISNUMBER(J134),OR(J134&lt;50,J134&gt;20000000))),"Введите целое число от 50 до 20000000",IF(NOT(ABS(IFERROR(VALUE(LEFT(M134,FIND("-",M134)-1)),M134)*100-(2500+2000000000)/2)&lt;=ABS(2500-2000000000)/2),"Цена со скидкой должна быть от 25 до 20000000",IF(IFERROR(VALUE(LEFT(M134,FIND("-",M134)-1)),M134)*220&lt;204740,"Вы уменьшили цену в несколько раз, товар попадет в карантин цен",IF(AND(IFERROR(VALUE(I134),0)=0,ISNUMBER(J134),OR(J134&lt;206,ABS(IFERROR(VALUE(LEFT(M134,FIND("-",M134)-1)),M134))*100&lt;20600)),"Проверьте цену товара. Большинство товаров в выбранной категории стоят дороже 206",""))))),"")</f>
      </c>
    </row>
    <row r="135">
      <c r="A135" s="2" t="inlineStr">
        <is>
          <t>Крымский Хан</t>
        </is>
      </c>
      <c r="B135" s="2" t="inlineStr">
        <is>
          <t>Браслеты</t>
        </is>
      </c>
      <c r="C135" s="2">
        <v>266789956</v>
      </c>
      <c r="D135" s="2" t="inlineStr">
        <is>
          <t>4</t>
        </is>
      </c>
      <c r="E135" s="2" t="inlineStr">
        <is>
          <t>2041360527194</t>
        </is>
      </c>
      <c r="F135" s="2">
        <v>16</v>
      </c>
      <c r="G135" s="2">
        <v>0</v>
      </c>
      <c r="H135" s="2">
        <v>999</v>
      </c>
      <c r="I135" s="2" t="inlineStr">
        <is>
          <t>3530</t>
        </is>
      </c>
      <c r="J135" s="4"/>
      <c r="K135" s="2">
        <v>44</v>
      </c>
      <c r="L135" s="6"/>
      <c r="M135" s="2" t="str">
        <f>IF(J135="",ROUND(I135*(1-IF(ISBLANK(L135),K135,L135)/100),2),ROUND(J135*(1-IF(ISBLANK(L135),K135,L135)/100),2))</f>
      </c>
      <c r="N135" s="7" t="str">
        <f>IF(NOT(AND(J135="",L135="")),IF(OR(AND(L135&lt;&gt;"",NOT(ISNUMBER(L135))),IFERROR(MOD(L135,1),1)&gt;0,AND(ISNUMBER(L135),OR(L135&lt;0,L135&gt;95))),"Введите целое число от 0 до 95",IF(OR(AND(J135&lt;&gt;"",NOT(ISNUMBER(J135))),IFERROR(MOD(J135,1),1)&gt;0,AND(ISNUMBER(J135),OR(J135&lt;50,J135&gt;20000000))),"Введите целое число от 50 до 20000000",IF(NOT(ABS(IFERROR(VALUE(LEFT(M135,FIND("-",M135)-1)),M135)*100-(2500+2000000000)/2)&lt;=ABS(2500-2000000000)/2),"Цена со скидкой должна быть от 25 до 20000000",IF(IFERROR(VALUE(LEFT(M135,FIND("-",M135)-1)),M135)*220&lt;197680,"Вы уменьшили цену в несколько раз, товар попадет в карантин цен",IF(AND(IFERROR(VALUE(I135),0)=0,ISNUMBER(J135),OR(J135&lt;206,ABS(IFERROR(VALUE(LEFT(M135,FIND("-",M135)-1)),M135))*100&lt;20600)),"Проверьте цену товара. Большинство товаров в выбранной категории стоят дороже 206",""))))),"")</f>
      </c>
    </row>
    <row r="136">
      <c r="A136" s="2" t="inlineStr">
        <is>
          <t>Крымский Хан</t>
        </is>
      </c>
      <c r="B136" s="2" t="inlineStr">
        <is>
          <t>Браслеты</t>
        </is>
      </c>
      <c r="C136" s="2">
        <v>266789957</v>
      </c>
      <c r="D136" s="2" t="inlineStr">
        <is>
          <t>5</t>
        </is>
      </c>
      <c r="E136" s="2" t="inlineStr">
        <is>
          <t>2041360527200</t>
        </is>
      </c>
      <c r="F136" s="2">
        <v>14</v>
      </c>
      <c r="G136" s="2">
        <v>0</v>
      </c>
      <c r="H136" s="2">
        <v>999</v>
      </c>
      <c r="I136" s="2" t="inlineStr">
        <is>
          <t>3530</t>
        </is>
      </c>
      <c r="J136" s="4"/>
      <c r="K136" s="2">
        <v>45</v>
      </c>
      <c r="L136" s="6"/>
      <c r="M136" s="2" t="str">
        <f>IF(J136="",ROUND(I136*(1-IF(ISBLANK(L136),K136,L136)/100),2),ROUND(J136*(1-IF(ISBLANK(L136),K136,L136)/100),2))</f>
      </c>
      <c r="N136" s="7" t="str">
        <f>IF(NOT(AND(J136="",L136="")),IF(OR(AND(L136&lt;&gt;"",NOT(ISNUMBER(L136))),IFERROR(MOD(L136,1),1)&gt;0,AND(ISNUMBER(L136),OR(L136&lt;0,L136&gt;95))),"Введите целое число от 0 до 95",IF(OR(AND(J136&lt;&gt;"",NOT(ISNUMBER(J136))),IFERROR(MOD(J136,1),1)&gt;0,AND(ISNUMBER(J136),OR(J136&lt;50,J136&gt;20000000))),"Введите целое число от 50 до 20000000",IF(NOT(ABS(IFERROR(VALUE(LEFT(M136,FIND("-",M136)-1)),M136)*100-(2500+2000000000)/2)&lt;=ABS(2500-2000000000)/2),"Цена со скидкой должна быть от 25 до 20000000",IF(IFERROR(VALUE(LEFT(M136,FIND("-",M136)-1)),M136)*220&lt;194150,"Вы уменьшили цену в несколько раз, товар попадет в карантин цен",IF(AND(IFERROR(VALUE(I136),0)=0,ISNUMBER(J136),OR(J136&lt;206,ABS(IFERROR(VALUE(LEFT(M136,FIND("-",M136)-1)),M136))*100&lt;20600)),"Проверьте цену товара. Большинство товаров в выбранной категории стоят дороже 206",""))))),"")</f>
      </c>
    </row>
    <row r="137">
      <c r="A137" s="2" t="inlineStr">
        <is>
          <t>Крымский Хан</t>
        </is>
      </c>
      <c r="B137" s="2" t="inlineStr">
        <is>
          <t>Серьги</t>
        </is>
      </c>
      <c r="C137" s="2">
        <v>268147402</v>
      </c>
      <c r="D137" s="2" t="inlineStr">
        <is>
          <t>серьги 40</t>
        </is>
      </c>
      <c r="E137" s="2" t="inlineStr">
        <is>
          <t>2041388840046</t>
        </is>
      </c>
      <c r="F137" s="2">
        <v>3</v>
      </c>
      <c r="G137" s="2">
        <v>0</v>
      </c>
      <c r="H137" s="2">
        <v>999</v>
      </c>
      <c r="I137" s="2" t="inlineStr">
        <is>
          <t>3177</t>
        </is>
      </c>
      <c r="J137" s="4"/>
      <c r="K137" s="2">
        <v>44</v>
      </c>
      <c r="L137" s="6"/>
      <c r="M137" s="2" t="str">
        <f>IF(J137="",ROUND(I137*(1-IF(ISBLANK(L137),K137,L137)/100),2),ROUND(J137*(1-IF(ISBLANK(L137),K137,L137)/100),2))</f>
      </c>
      <c r="N137" s="7" t="str">
        <f>IF(NOT(AND(J137="",L137="")),IF(OR(AND(L137&lt;&gt;"",NOT(ISNUMBER(L137))),IFERROR(MOD(L137,1),1)&gt;0,AND(ISNUMBER(L137),OR(L137&lt;0,L137&gt;95))),"Введите целое число от 0 до 95",IF(OR(AND(J137&lt;&gt;"",NOT(ISNUMBER(J137))),IFERROR(MOD(J137,1),1)&gt;0,AND(ISNUMBER(J137),OR(J137&lt;50,J137&gt;20000000))),"Введите целое число от 50 до 20000000",IF(NOT(ABS(IFERROR(VALUE(LEFT(M137,FIND("-",M137)-1)),M137)*100-(2500+2000000000)/2)&lt;=ABS(2500-2000000000)/2),"Цена со скидкой должна быть от 25 до 20000000",IF(IFERROR(VALUE(LEFT(M137,FIND("-",M137)-1)),M137)*220&lt;177912,"Вы уменьшили цену в несколько раз, товар попадет в карантин цен",IF(AND(IFERROR(VALUE(I137),0)=0,ISNUMBER(J137),OR(J137&lt;211,ABS(IFERROR(VALUE(LEFT(M137,FIND("-",M137)-1)),M137))*100&lt;21100)),"Проверьте цену товара. Большинство товаров в выбранной категории стоят дороже 211",""))))),"")</f>
      </c>
    </row>
    <row r="138">
      <c r="A138" s="2" t="inlineStr">
        <is>
          <t/>
        </is>
      </c>
      <c r="B138" s="2" t="inlineStr">
        <is>
          <t>Серьги</t>
        </is>
      </c>
      <c r="C138" s="2">
        <v>734549766</v>
      </c>
      <c r="D138" s="2" t="inlineStr">
        <is>
          <t>153</t>
        </is>
      </c>
      <c r="E138" s="2" t="inlineStr">
        <is>
          <t>2048129076320</t>
        </is>
      </c>
      <c r="F138" s="2" t="inlineStr">
        <is>
          <t/>
        </is>
      </c>
      <c r="G138" s="2" t="inlineStr">
        <is>
          <t/>
        </is>
      </c>
      <c r="H138" s="2" t="inlineStr">
        <is>
          <t/>
        </is>
      </c>
      <c r="I138" s="2" t="inlineStr">
        <is>
          <t>3000</t>
        </is>
      </c>
      <c r="J138" s="4"/>
      <c r="K138" s="2">
        <v>5</v>
      </c>
      <c r="L138" s="6"/>
      <c r="M138" s="2" t="str">
        <f>IF(J138="",ROUND(I138*(1-IF(ISBLANK(L138),K138,L138)/100),2),ROUND(J138*(1-IF(ISBLANK(L138),K138,L138)/100),2))</f>
      </c>
      <c r="N138" s="7" t="str">
        <f>IF(NOT(AND(J138="",L138="")),IF(OR(AND(L138&lt;&gt;"",NOT(ISNUMBER(L138))),IFERROR(MOD(L138,1),1)&gt;0,AND(ISNUMBER(L138),OR(L138&lt;0,L138&gt;95))),"Введите целое число от 0 до 95",IF(OR(AND(J138&lt;&gt;"",NOT(ISNUMBER(J138))),IFERROR(MOD(J138,1),1)&gt;0,AND(ISNUMBER(J138),OR(J138&lt;50,J138&gt;20000000))),"Введите целое число от 50 до 20000000",IF(NOT(ABS(IFERROR(VALUE(LEFT(M138,FIND("-",M138)-1)),M138)*100-(2500+2000000000)/2)&lt;=ABS(2500-2000000000)/2),"Цена со скидкой должна быть от 25 до 20000000",IF(IFERROR(VALUE(LEFT(M138,FIND("-",M138)-1)),M138)*220&lt;285000,"Вы уменьшили цену в несколько раз, товар попадет в карантин цен",IF(AND(IFERROR(VALUE(I138),0)=0,ISNUMBER(J138),OR(J138&lt;211,ABS(IFERROR(VALUE(LEFT(M138,FIND("-",M138)-1)),M138))*100&lt;21100)),"Проверьте цену товара. Большинство товаров в выбранной категории стоят дороже 211",""))))),"")</f>
      </c>
    </row>
    <row r="139">
      <c r="A139" s="2" t="inlineStr">
        <is>
          <t/>
        </is>
      </c>
      <c r="B139" s="2" t="inlineStr">
        <is>
          <t>Серьги</t>
        </is>
      </c>
      <c r="C139" s="2">
        <v>734549765</v>
      </c>
      <c r="D139" s="2" t="inlineStr">
        <is>
          <t>152</t>
        </is>
      </c>
      <c r="E139" s="2" t="inlineStr">
        <is>
          <t>2048129076313</t>
        </is>
      </c>
      <c r="F139" s="2" t="inlineStr">
        <is>
          <t/>
        </is>
      </c>
      <c r="G139" s="2" t="inlineStr">
        <is>
          <t/>
        </is>
      </c>
      <c r="H139" s="2" t="inlineStr">
        <is>
          <t/>
        </is>
      </c>
      <c r="I139" s="2" t="inlineStr">
        <is>
          <t>3000</t>
        </is>
      </c>
      <c r="J139" s="4"/>
      <c r="K139" s="2">
        <v>5</v>
      </c>
      <c r="L139" s="6"/>
      <c r="M139" s="2" t="str">
        <f>IF(J139="",ROUND(I139*(1-IF(ISBLANK(L139),K139,L139)/100),2),ROUND(J139*(1-IF(ISBLANK(L139),K139,L139)/100),2))</f>
      </c>
      <c r="N139" s="7" t="str">
        <f>IF(NOT(AND(J139="",L139="")),IF(OR(AND(L139&lt;&gt;"",NOT(ISNUMBER(L139))),IFERROR(MOD(L139,1),1)&gt;0,AND(ISNUMBER(L139),OR(L139&lt;0,L139&gt;95))),"Введите целое число от 0 до 95",IF(OR(AND(J139&lt;&gt;"",NOT(ISNUMBER(J139))),IFERROR(MOD(J139,1),1)&gt;0,AND(ISNUMBER(J139),OR(J139&lt;50,J139&gt;20000000))),"Введите целое число от 50 до 20000000",IF(NOT(ABS(IFERROR(VALUE(LEFT(M139,FIND("-",M139)-1)),M139)*100-(2500+2000000000)/2)&lt;=ABS(2500-2000000000)/2),"Цена со скидкой должна быть от 25 до 20000000",IF(IFERROR(VALUE(LEFT(M139,FIND("-",M139)-1)),M139)*220&lt;285000,"Вы уменьшили цену в несколько раз, товар попадет в карантин цен",IF(AND(IFERROR(VALUE(I139),0)=0,ISNUMBER(J139),OR(J139&lt;211,ABS(IFERROR(VALUE(LEFT(M139,FIND("-",M139)-1)),M139))*100&lt;21100)),"Проверьте цену товара. Большинство товаров в выбранной категории стоят дороже 211",""))))),"")</f>
      </c>
    </row>
    <row r="140">
      <c r="A140" s="2" t="inlineStr">
        <is>
          <t/>
        </is>
      </c>
      <c r="B140" s="2" t="inlineStr">
        <is>
          <t>Серьги</t>
        </is>
      </c>
      <c r="C140" s="2">
        <v>734549771</v>
      </c>
      <c r="D140" s="2" t="inlineStr">
        <is>
          <t>158</t>
        </is>
      </c>
      <c r="E140" s="2" t="inlineStr">
        <is>
          <t>2048129076405</t>
        </is>
      </c>
      <c r="F140" s="2" t="inlineStr">
        <is>
          <t/>
        </is>
      </c>
      <c r="G140" s="2" t="inlineStr">
        <is>
          <t/>
        </is>
      </c>
      <c r="H140" s="2" t="inlineStr">
        <is>
          <t/>
        </is>
      </c>
      <c r="I140" s="2" t="inlineStr">
        <is>
          <t>3000</t>
        </is>
      </c>
      <c r="J140" s="4"/>
      <c r="K140" s="2">
        <v>5</v>
      </c>
      <c r="L140" s="6"/>
      <c r="M140" s="2" t="str">
        <f>IF(J140="",ROUND(I140*(1-IF(ISBLANK(L140),K140,L140)/100),2),ROUND(J140*(1-IF(ISBLANK(L140),K140,L140)/100),2))</f>
      </c>
      <c r="N140" s="7" t="str">
        <f>IF(NOT(AND(J140="",L140="")),IF(OR(AND(L140&lt;&gt;"",NOT(ISNUMBER(L140))),IFERROR(MOD(L140,1),1)&gt;0,AND(ISNUMBER(L140),OR(L140&lt;0,L140&gt;95))),"Введите целое число от 0 до 95",IF(OR(AND(J140&lt;&gt;"",NOT(ISNUMBER(J140))),IFERROR(MOD(J140,1),1)&gt;0,AND(ISNUMBER(J140),OR(J140&lt;50,J140&gt;20000000))),"Введите целое число от 50 до 20000000",IF(NOT(ABS(IFERROR(VALUE(LEFT(M140,FIND("-",M140)-1)),M140)*100-(2500+2000000000)/2)&lt;=ABS(2500-2000000000)/2),"Цена со скидкой должна быть от 25 до 20000000",IF(IFERROR(VALUE(LEFT(M140,FIND("-",M140)-1)),M140)*220&lt;285000,"Вы уменьшили цену в несколько раз, товар попадет в карантин цен",IF(AND(IFERROR(VALUE(I140),0)=0,ISNUMBER(J140),OR(J140&lt;211,ABS(IFERROR(VALUE(LEFT(M140,FIND("-",M140)-1)),M140))*100&lt;21100)),"Проверьте цену товара. Большинство товаров в выбранной категории стоят дороже 211",""))))),"")</f>
      </c>
    </row>
    <row r="141">
      <c r="A141" s="2" t="inlineStr">
        <is>
          <t/>
        </is>
      </c>
      <c r="B141" s="2" t="inlineStr">
        <is>
          <t>Браслеты</t>
        </is>
      </c>
      <c r="C141" s="2">
        <v>734566653</v>
      </c>
      <c r="D141" s="2" t="inlineStr">
        <is>
          <t>111</t>
        </is>
      </c>
      <c r="E141" s="2" t="inlineStr">
        <is>
          <t>2048129293215</t>
        </is>
      </c>
      <c r="F141" s="2" t="inlineStr">
        <is>
          <t/>
        </is>
      </c>
      <c r="G141" s="2" t="inlineStr">
        <is>
          <t/>
        </is>
      </c>
      <c r="H141" s="2" t="inlineStr">
        <is>
          <t/>
        </is>
      </c>
      <c r="I141" s="2" t="inlineStr">
        <is>
          <t>3530</t>
        </is>
      </c>
      <c r="J141" s="4"/>
      <c r="K141" s="2">
        <v>25</v>
      </c>
      <c r="L141" s="6"/>
      <c r="M141" s="2" t="str">
        <f>IF(J141="",ROUND(I141*(1-IF(ISBLANK(L141),K141,L141)/100),2),ROUND(J141*(1-IF(ISBLANK(L141),K141,L141)/100),2))</f>
      </c>
      <c r="N141" s="7" t="str">
        <f>IF(NOT(AND(J141="",L141="")),IF(OR(AND(L141&lt;&gt;"",NOT(ISNUMBER(L141))),IFERROR(MOD(L141,1),1)&gt;0,AND(ISNUMBER(L141),OR(L141&lt;0,L141&gt;95))),"Введите целое число от 0 до 95",IF(OR(AND(J141&lt;&gt;"",NOT(ISNUMBER(J141))),IFERROR(MOD(J141,1),1)&gt;0,AND(ISNUMBER(J141),OR(J141&lt;50,J141&gt;20000000))),"Введите целое число от 50 до 20000000",IF(NOT(ABS(IFERROR(VALUE(LEFT(M141,FIND("-",M141)-1)),M141)*100-(2500+2000000000)/2)&lt;=ABS(2500-2000000000)/2),"Цена со скидкой должна быть от 25 до 20000000",IF(IFERROR(VALUE(LEFT(M141,FIND("-",M141)-1)),M141)*220&lt;264750,"Вы уменьшили цену в несколько раз, товар попадет в карантин цен",IF(AND(IFERROR(VALUE(I141),0)=0,ISNUMBER(J141),OR(J141&lt;206,ABS(IFERROR(VALUE(LEFT(M141,FIND("-",M141)-1)),M141))*100&lt;20600)),"Проверьте цену товара. Большинство товаров в выбранной категории стоят дороже 206",""))))),"")</f>
      </c>
    </row>
    <row r="142">
      <c r="A142" s="2" t="inlineStr">
        <is>
          <t/>
        </is>
      </c>
      <c r="B142" s="2" t="inlineStr">
        <is>
          <t>Кольца</t>
        </is>
      </c>
      <c r="C142" s="2">
        <v>734605450</v>
      </c>
      <c r="D142" s="2" t="inlineStr">
        <is>
          <t>130</t>
        </is>
      </c>
      <c r="E142" s="2" t="inlineStr">
        <is>
          <t>2048129756109</t>
        </is>
      </c>
      <c r="F142" s="2" t="inlineStr">
        <is>
          <t/>
        </is>
      </c>
      <c r="G142" s="2" t="inlineStr">
        <is>
          <t/>
        </is>
      </c>
      <c r="H142" s="2" t="inlineStr">
        <is>
          <t/>
        </is>
      </c>
      <c r="I142" s="2" t="inlineStr">
        <is>
          <t>0</t>
        </is>
      </c>
      <c r="J142" s="4"/>
      <c r="K142" s="2">
        <v>0</v>
      </c>
      <c r="L142" s="6"/>
      <c r="M142" s="2" t="str">
        <f>IF(J142="",ROUND(I142*(1-IF(ISBLANK(L142),K142,L142)/100),2),ROUND(J142*(1-IF(ISBLANK(L142),K142,L142)/100),2))</f>
      </c>
      <c r="N142" s="7" t="str">
        <f>IF(NOT(AND(J142="",L142="")),IF(OR(AND(L142&lt;&gt;"",NOT(ISNUMBER(L142))),IFERROR(MOD(L142,1),1)&gt;0,AND(ISNUMBER(L142),OR(L142&lt;0,L142&gt;95))),"Введите целое число от 0 до 95",IF(OR(AND(J142&lt;&gt;"",NOT(ISNUMBER(J142))),IFERROR(MOD(J142,1),1)&gt;0,AND(ISNUMBER(J142),OR(J142&lt;50,J142&gt;20000000))),"Введите целое число от 50 до 20000000",IF(NOT(ABS(IFERROR(VALUE(LEFT(M142,FIND("-",M142)-1)),M142)*100-(2500+2000000000)/2)&lt;=ABS(2500-2000000000)/2),"Цена со скидкой должна быть от 25 до 20000000",IF(IFERROR(VALUE(LEFT(M142,FIND("-",M142)-1)),M142)*220&lt;0,"Вы уменьшили цену в несколько раз, товар попадет в карантин цен",IF(AND(IFERROR(VALUE(I142),0)=0,ISNUMBER(J142),OR(J142&lt;248,ABS(IFERROR(VALUE(LEFT(M142,FIND("-",M142)-1)),M142))*100&lt;24800)),"Проверьте цену товара. Большинство товаров в выбранной категории стоят дороже 248",""))))),"")</f>
      </c>
    </row>
    <row r="143">
      <c r="A143" s="2" t="inlineStr">
        <is>
          <t/>
        </is>
      </c>
      <c r="B143" s="2" t="inlineStr">
        <is>
          <t>Подвески бижутерные</t>
        </is>
      </c>
      <c r="C143" s="2">
        <v>316655362</v>
      </c>
      <c r="D143" s="2" t="inlineStr">
        <is>
          <t>wb414lz1e54</t>
        </is>
      </c>
      <c r="E143" s="2" t="inlineStr">
        <is>
          <t>2042575460764</t>
        </is>
      </c>
      <c r="F143" s="2">
        <v>5</v>
      </c>
      <c r="G143" s="2">
        <v>0</v>
      </c>
      <c r="H143" s="2">
        <v>999</v>
      </c>
      <c r="I143" s="2" t="inlineStr">
        <is>
          <t>1295</t>
        </is>
      </c>
      <c r="J143" s="4"/>
      <c r="K143" s="2">
        <v>32</v>
      </c>
      <c r="L143" s="6"/>
      <c r="M143" s="2" t="str">
        <f>IF(J143="",ROUND(I143*(1-IF(ISBLANK(L143),K143,L143)/100),2),ROUND(J143*(1-IF(ISBLANK(L143),K143,L143)/100),2))</f>
      </c>
      <c r="N143" s="7" t="str">
        <f>IF(NOT(AND(J143="",L143="")),IF(OR(AND(L143&lt;&gt;"",NOT(ISNUMBER(L143))),IFERROR(MOD(L143,1),1)&gt;0,AND(ISNUMBER(L143),OR(L143&lt;0,L143&gt;95))),"Введите целое число от 0 до 95",IF(OR(AND(J143&lt;&gt;"",NOT(ISNUMBER(J143))),IFERROR(MOD(J143,1),1)&gt;0,AND(ISNUMBER(J143),OR(J143&lt;50,J143&gt;20000000))),"Введите целое число от 50 до 20000000",IF(NOT(ABS(IFERROR(VALUE(LEFT(M143,FIND("-",M143)-1)),M143)*100-(2500+2000000000)/2)&lt;=ABS(2500-2000000000)/2),"Цена со скидкой должна быть от 25 до 20000000",IF(IFERROR(VALUE(LEFT(M143,FIND("-",M143)-1)),M143)*220&lt;88059,"Вы уменьшили цену в несколько раз, товар попадет в карантин цен",IF(AND(IFERROR(VALUE(I143),0)=0,ISNUMBER(J143),OR(J143&lt;214,ABS(IFERROR(VALUE(LEFT(M143,FIND("-",M143)-1)),M143))*100&lt;21400)),"Проверьте цену товара. Большинство товаров в выбранной категории стоят дороже 214",""))))),"")</f>
      </c>
    </row>
    <row r="144">
      <c r="A144" s="2" t="inlineStr">
        <is>
          <t>Крымский Хан</t>
        </is>
      </c>
      <c r="B144" s="2" t="inlineStr">
        <is>
          <t>Карандаши</t>
        </is>
      </c>
      <c r="C144" s="2">
        <v>298022091</v>
      </c>
      <c r="D144" s="2" t="inlineStr">
        <is>
          <t>Наконечник Корабль</t>
        </is>
      </c>
      <c r="E144" s="2" t="inlineStr">
        <is>
          <t>2042153361261</t>
        </is>
      </c>
      <c r="F144" s="2">
        <v>7</v>
      </c>
      <c r="G144" s="2">
        <v>0</v>
      </c>
      <c r="H144" s="2">
        <v>999</v>
      </c>
      <c r="I144" s="2" t="inlineStr">
        <is>
          <t>1059</t>
        </is>
      </c>
      <c r="J144" s="4"/>
      <c r="K144" s="2">
        <v>28</v>
      </c>
      <c r="L144" s="6"/>
      <c r="M144" s="2" t="str">
        <f>IF(J144="",ROUND(I144*(1-IF(ISBLANK(L144),K144,L144)/100),2),ROUND(J144*(1-IF(ISBLANK(L144),K144,L144)/100),2))</f>
      </c>
      <c r="N144" s="7" t="str">
        <f>IF(NOT(AND(J144="",L144="")),IF(OR(AND(L144&lt;&gt;"",NOT(ISNUMBER(L144))),IFERROR(MOD(L144,1),1)&gt;0,AND(ISNUMBER(L144),OR(L144&lt;0,L144&gt;95))),"Введите целое число от 0 до 95",IF(OR(AND(J144&lt;&gt;"",NOT(ISNUMBER(J144))),IFERROR(MOD(J144,1),1)&gt;0,AND(ISNUMBER(J144),OR(J144&lt;50,J144&gt;20000000))),"Введите целое число от 50 до 20000000",IF(NOT(ABS(IFERROR(VALUE(LEFT(M144,FIND("-",M144)-1)),M144)*100-(2500+2000000000)/2)&lt;=ABS(2500-2000000000)/2),"Цена со скидкой должна быть от 25 до 20000000",IF(IFERROR(VALUE(LEFT(M144,FIND("-",M144)-1)),M144)*200&lt;76248,"Вы уменьшили цену в несколько раз, товар попадет в карантин цен",IF(AND(IFERROR(VALUE(I144),0)=0,ISNUMBER(J144),OR(J144&lt;145,ABS(IFERROR(VALUE(LEFT(M144,FIND("-",M144)-1)),M144))*100&lt;14500)),"Проверьте цену товара. Большинство товаров в выбранной категории стоят дороже 145",""))))),"")</f>
      </c>
    </row>
    <row r="145">
      <c r="A145" s="2" t="inlineStr">
        <is>
          <t>Крымский Хан</t>
        </is>
      </c>
      <c r="B145" s="2" t="inlineStr">
        <is>
          <t>Карандаши</t>
        </is>
      </c>
      <c r="C145" s="2">
        <v>298022092</v>
      </c>
      <c r="D145" s="2" t="inlineStr">
        <is>
          <t>Наконечник Заяц</t>
        </is>
      </c>
      <c r="E145" s="2" t="inlineStr">
        <is>
          <t>2042153363364</t>
        </is>
      </c>
      <c r="F145" s="2">
        <v>3</v>
      </c>
      <c r="G145" s="2">
        <v>0</v>
      </c>
      <c r="H145" s="2">
        <v>999</v>
      </c>
      <c r="I145" s="2" t="inlineStr">
        <is>
          <t>1059</t>
        </is>
      </c>
      <c r="J145" s="4"/>
      <c r="K145" s="2">
        <v>28</v>
      </c>
      <c r="L145" s="6"/>
      <c r="M145" s="2" t="str">
        <f>IF(J145="",ROUND(I145*(1-IF(ISBLANK(L145),K145,L145)/100),2),ROUND(J145*(1-IF(ISBLANK(L145),K145,L145)/100),2))</f>
      </c>
      <c r="N145" s="7" t="str">
        <f>IF(NOT(AND(J145="",L145="")),IF(OR(AND(L145&lt;&gt;"",NOT(ISNUMBER(L145))),IFERROR(MOD(L145,1),1)&gt;0,AND(ISNUMBER(L145),OR(L145&lt;0,L145&gt;95))),"Введите целое число от 0 до 95",IF(OR(AND(J145&lt;&gt;"",NOT(ISNUMBER(J145))),IFERROR(MOD(J145,1),1)&gt;0,AND(ISNUMBER(J145),OR(J145&lt;50,J145&gt;20000000))),"Введите целое число от 50 до 20000000",IF(NOT(ABS(IFERROR(VALUE(LEFT(M145,FIND("-",M145)-1)),M145)*100-(2500+2000000000)/2)&lt;=ABS(2500-2000000000)/2),"Цена со скидкой должна быть от 25 до 20000000",IF(IFERROR(VALUE(LEFT(M145,FIND("-",M145)-1)),M145)*200&lt;76248,"Вы уменьшили цену в несколько раз, товар попадет в карантин цен",IF(AND(IFERROR(VALUE(I145),0)=0,ISNUMBER(J145),OR(J145&lt;145,ABS(IFERROR(VALUE(LEFT(M145,FIND("-",M145)-1)),M145))*100&lt;14500)),"Проверьте цену товара. Большинство товаров в выбранной категории стоят дороже 145",""))))),"")</f>
      </c>
    </row>
    <row r="146">
      <c r="A146" s="2" t="inlineStr">
        <is>
          <t/>
        </is>
      </c>
      <c r="B146" s="2" t="inlineStr">
        <is>
          <t>Кольца</t>
        </is>
      </c>
      <c r="C146" s="2">
        <v>734605439</v>
      </c>
      <c r="D146" s="2" t="inlineStr">
        <is>
          <t>119</t>
        </is>
      </c>
      <c r="E146" s="2" t="inlineStr">
        <is>
          <t>2048129755799</t>
        </is>
      </c>
      <c r="F146" s="2">
        <v>19</v>
      </c>
      <c r="G146" s="2">
        <v>0</v>
      </c>
      <c r="H146" s="2">
        <v>585</v>
      </c>
      <c r="I146" s="2" t="inlineStr">
        <is>
          <t>0</t>
        </is>
      </c>
      <c r="J146" s="4"/>
      <c r="K146" s="2">
        <v>0</v>
      </c>
      <c r="L146" s="6"/>
      <c r="M146" s="2" t="str">
        <f>IF(J146="",ROUND(I146*(1-IF(ISBLANK(L146),K146,L146)/100),2),ROUND(J146*(1-IF(ISBLANK(L146),K146,L146)/100),2))</f>
      </c>
      <c r="N146" s="7" t="str">
        <f>IF(NOT(AND(J146="",L146="")),IF(OR(AND(L146&lt;&gt;"",NOT(ISNUMBER(L146))),IFERROR(MOD(L146,1),1)&gt;0,AND(ISNUMBER(L146),OR(L146&lt;0,L146&gt;95))),"Введите целое число от 0 до 95",IF(OR(AND(J146&lt;&gt;"",NOT(ISNUMBER(J146))),IFERROR(MOD(J146,1),1)&gt;0,AND(ISNUMBER(J146),OR(J146&lt;50,J146&gt;20000000))),"Введите целое число от 50 до 20000000",IF(NOT(ABS(IFERROR(VALUE(LEFT(M146,FIND("-",M146)-1)),M146)*100-(2500+2000000000)/2)&lt;=ABS(2500-2000000000)/2),"Цена со скидкой должна быть от 25 до 20000000",IF(IFERROR(VALUE(LEFT(M146,FIND("-",M146)-1)),M146)*220&lt;0,"Вы уменьшили цену в несколько раз, товар попадет в карантин цен",IF(AND(IFERROR(VALUE(I146),0)=0,ISNUMBER(J146),OR(J146&lt;248,ABS(IFERROR(VALUE(LEFT(M146,FIND("-",M146)-1)),M146))*100&lt;24800)),"Проверьте цену товара. Большинство товаров в выбранной категории стоят дороже 248",""))))),"")</f>
      </c>
    </row>
    <row r="147">
      <c r="A147" s="2" t="inlineStr">
        <is>
          <t>Крымский Хан</t>
        </is>
      </c>
      <c r="B147" s="2" t="inlineStr">
        <is>
          <t>Карандаши</t>
        </is>
      </c>
      <c r="C147" s="2">
        <v>298022093</v>
      </c>
      <c r="D147" s="2" t="inlineStr">
        <is>
          <t>Наконечник Сова</t>
        </is>
      </c>
      <c r="E147" s="2" t="inlineStr">
        <is>
          <t>2042153366044</t>
        </is>
      </c>
      <c r="F147" s="2">
        <v>0</v>
      </c>
      <c r="G147" s="2">
        <v>0</v>
      </c>
      <c r="H147" s="2">
        <v>1</v>
      </c>
      <c r="I147" s="2" t="inlineStr">
        <is>
          <t>1059</t>
        </is>
      </c>
      <c r="J147" s="4"/>
      <c r="K147" s="2">
        <v>34</v>
      </c>
      <c r="L147" s="6"/>
      <c r="M147" s="2" t="str">
        <f>IF(J147="",ROUND(I147*(1-IF(ISBLANK(L147),K147,L147)/100),2),ROUND(J147*(1-IF(ISBLANK(L147),K147,L147)/100),2))</f>
      </c>
      <c r="N147" s="7" t="str">
        <f>IF(NOT(AND(J147="",L147="")),IF(OR(AND(L147&lt;&gt;"",NOT(ISNUMBER(L147))),IFERROR(MOD(L147,1),1)&gt;0,AND(ISNUMBER(L147),OR(L147&lt;0,L147&gt;95))),"Введите целое число от 0 до 95",IF(OR(AND(J147&lt;&gt;"",NOT(ISNUMBER(J147))),IFERROR(MOD(J147,1),1)&gt;0,AND(ISNUMBER(J147),OR(J147&lt;50,J147&gt;20000000))),"Введите целое число от 50 до 20000000",IF(NOT(ABS(IFERROR(VALUE(LEFT(M147,FIND("-",M147)-1)),M147)*100-(2500+2000000000)/2)&lt;=ABS(2500-2000000000)/2),"Цена со скидкой должна быть от 25 до 20000000",IF(IFERROR(VALUE(LEFT(M147,FIND("-",M147)-1)),M147)*200&lt;69894,"Вы уменьшили цену в несколько раз, товар попадет в карантин цен",IF(AND(IFERROR(VALUE(I147),0)=0,ISNUMBER(J147),OR(J147&lt;145,ABS(IFERROR(VALUE(LEFT(M147,FIND("-",M147)-1)),M147))*100&lt;14500)),"Проверьте цену товара. Большинство товаров в выбранной категории стоят дороже 145",""))))),"")</f>
      </c>
    </row>
    <row r="148">
      <c r="A148" s="2" t="inlineStr">
        <is>
          <t>Крымский Хан</t>
        </is>
      </c>
      <c r="B148" s="2" t="inlineStr">
        <is>
          <t>Браслеты</t>
        </is>
      </c>
      <c r="C148" s="2">
        <v>328804917</v>
      </c>
      <c r="D148" s="2" t="inlineStr">
        <is>
          <t>72</t>
        </is>
      </c>
      <c r="E148" s="2" t="inlineStr">
        <is>
          <t>2042793689824</t>
        </is>
      </c>
      <c r="F148" s="2">
        <v>14</v>
      </c>
      <c r="G148" s="2">
        <v>0</v>
      </c>
      <c r="H148" s="2">
        <v>999</v>
      </c>
      <c r="I148" s="2" t="inlineStr">
        <is>
          <t>3530</t>
        </is>
      </c>
      <c r="J148" s="4"/>
      <c r="K148" s="2">
        <v>32</v>
      </c>
      <c r="L148" s="6"/>
      <c r="M148" s="2" t="str">
        <f>IF(J148="",ROUND(I148*(1-IF(ISBLANK(L148),K148,L148)/100),2),ROUND(J148*(1-IF(ISBLANK(L148),K148,L148)/100),2))</f>
      </c>
      <c r="N148" s="7" t="str">
        <f>IF(NOT(AND(J148="",L148="")),IF(OR(AND(L148&lt;&gt;"",NOT(ISNUMBER(L148))),IFERROR(MOD(L148,1),1)&gt;0,AND(ISNUMBER(L148),OR(L148&lt;0,L148&gt;95))),"Введите целое число от 0 до 95",IF(OR(AND(J148&lt;&gt;"",NOT(ISNUMBER(J148))),IFERROR(MOD(J148,1),1)&gt;0,AND(ISNUMBER(J148),OR(J148&lt;50,J148&gt;20000000))),"Введите целое число от 50 до 20000000",IF(NOT(ABS(IFERROR(VALUE(LEFT(M148,FIND("-",M148)-1)),M148)*100-(2500+2000000000)/2)&lt;=ABS(2500-2000000000)/2),"Цена со скидкой должна быть от 25 до 20000000",IF(IFERROR(VALUE(LEFT(M148,FIND("-",M148)-1)),M148)*220&lt;240039,"Вы уменьшили цену в несколько раз, товар попадет в карантин цен",IF(AND(IFERROR(VALUE(I148),0)=0,ISNUMBER(J148),OR(J148&lt;206,ABS(IFERROR(VALUE(LEFT(M148,FIND("-",M148)-1)),M148))*100&lt;20600)),"Проверьте цену товара. Большинство товаров в выбранной категории стоят дороже 206",""))))),"")</f>
      </c>
    </row>
    <row r="149">
      <c r="A149" s="2" t="inlineStr">
        <is>
          <t>Крымский Хан</t>
        </is>
      </c>
      <c r="B149" s="2" t="inlineStr">
        <is>
          <t>Серьги</t>
        </is>
      </c>
      <c r="C149" s="2">
        <v>316654387</v>
      </c>
      <c r="D149" s="2" t="inlineStr">
        <is>
          <t>84</t>
        </is>
      </c>
      <c r="E149" s="2" t="inlineStr">
        <is>
          <t>2042574981451</t>
        </is>
      </c>
      <c r="F149" s="2">
        <v>8</v>
      </c>
      <c r="G149" s="2">
        <v>0</v>
      </c>
      <c r="H149" s="2">
        <v>93</v>
      </c>
      <c r="I149" s="2" t="inlineStr">
        <is>
          <t>2942</t>
        </is>
      </c>
      <c r="J149" s="4"/>
      <c r="K149" s="2">
        <v>41</v>
      </c>
      <c r="L149" s="6"/>
      <c r="M149" s="2" t="str">
        <f>IF(J149="",ROUND(I149*(1-IF(ISBLANK(L149),K149,L149)/100),2),ROUND(J149*(1-IF(ISBLANK(L149),K149,L149)/100),2))</f>
      </c>
      <c r="N149" s="7" t="str">
        <f>IF(NOT(AND(J149="",L149="")),IF(OR(AND(L149&lt;&gt;"",NOT(ISNUMBER(L149))),IFERROR(MOD(L149,1),1)&gt;0,AND(ISNUMBER(L149),OR(L149&lt;0,L149&gt;95))),"Введите целое число от 0 до 95",IF(OR(AND(J149&lt;&gt;"",NOT(ISNUMBER(J149))),IFERROR(MOD(J149,1),1)&gt;0,AND(ISNUMBER(J149),OR(J149&lt;50,J149&gt;20000000))),"Введите целое число от 50 до 20000000",IF(NOT(ABS(IFERROR(VALUE(LEFT(M149,FIND("-",M149)-1)),M149)*100-(2500+2000000000)/2)&lt;=ABS(2500-2000000000)/2),"Цена со скидкой должна быть от 25 до 20000000",IF(IFERROR(VALUE(LEFT(M149,FIND("-",M149)-1)),M149)*220&lt;173578,"Вы уменьшили цену в несколько раз, товар попадет в карантин цен",IF(AND(IFERROR(VALUE(I149),0)=0,ISNUMBER(J149),OR(J149&lt;211,ABS(IFERROR(VALUE(LEFT(M149,FIND("-",M149)-1)),M149))*100&lt;21100)),"Проверьте цену товара. Большинство товаров в выбранной категории стоят дороже 211",""))))),"")</f>
      </c>
    </row>
    <row r="150">
      <c r="A150" s="2" t="inlineStr">
        <is>
          <t/>
        </is>
      </c>
      <c r="B150" s="2" t="inlineStr">
        <is>
          <t>Браслеты</t>
        </is>
      </c>
      <c r="C150" s="2">
        <v>734566657</v>
      </c>
      <c r="D150" s="2" t="inlineStr">
        <is>
          <t>115</t>
        </is>
      </c>
      <c r="E150" s="2" t="inlineStr">
        <is>
          <t>2048129293253</t>
        </is>
      </c>
      <c r="F150" s="2" t="inlineStr">
        <is>
          <t/>
        </is>
      </c>
      <c r="G150" s="2" t="inlineStr">
        <is>
          <t/>
        </is>
      </c>
      <c r="H150" s="2" t="inlineStr">
        <is>
          <t/>
        </is>
      </c>
      <c r="I150" s="2" t="inlineStr">
        <is>
          <t>3530</t>
        </is>
      </c>
      <c r="J150" s="4"/>
      <c r="K150" s="2">
        <v>25</v>
      </c>
      <c r="L150" s="6"/>
      <c r="M150" s="2" t="str">
        <f>IF(J150="",ROUND(I150*(1-IF(ISBLANK(L150),K150,L150)/100),2),ROUND(J150*(1-IF(ISBLANK(L150),K150,L150)/100),2))</f>
      </c>
      <c r="N150" s="7" t="str">
        <f>IF(NOT(AND(J150="",L150="")),IF(OR(AND(L150&lt;&gt;"",NOT(ISNUMBER(L150))),IFERROR(MOD(L150,1),1)&gt;0,AND(ISNUMBER(L150),OR(L150&lt;0,L150&gt;95))),"Введите целое число от 0 до 95",IF(OR(AND(J150&lt;&gt;"",NOT(ISNUMBER(J150))),IFERROR(MOD(J150,1),1)&gt;0,AND(ISNUMBER(J150),OR(J150&lt;50,J150&gt;20000000))),"Введите целое число от 50 до 20000000",IF(NOT(ABS(IFERROR(VALUE(LEFT(M150,FIND("-",M150)-1)),M150)*100-(2500+2000000000)/2)&lt;=ABS(2500-2000000000)/2),"Цена со скидкой должна быть от 25 до 20000000",IF(IFERROR(VALUE(LEFT(M150,FIND("-",M150)-1)),M150)*220&lt;264750,"Вы уменьшили цену в несколько раз, товар попадет в карантин цен",IF(AND(IFERROR(VALUE(I150),0)=0,ISNUMBER(J150),OR(J150&lt;206,ABS(IFERROR(VALUE(LEFT(M150,FIND("-",M150)-1)),M150))*100&lt;20600)),"Проверьте цену товара. Большинство товаров в выбранной категории стоят дороже 206",""))))),"")</f>
      </c>
    </row>
    <row r="151">
      <c r="A151" s="2" t="inlineStr">
        <is>
          <t>Крымский Хан</t>
        </is>
      </c>
      <c r="B151" s="2" t="inlineStr">
        <is>
          <t>Серьги</t>
        </is>
      </c>
      <c r="C151" s="2">
        <v>268147392</v>
      </c>
      <c r="D151" s="2" t="inlineStr">
        <is>
          <t>серьги 30</t>
        </is>
      </c>
      <c r="E151" s="2" t="inlineStr">
        <is>
          <t>2041388839941</t>
        </is>
      </c>
      <c r="F151" s="2">
        <v>46</v>
      </c>
      <c r="G151" s="2">
        <v>0</v>
      </c>
      <c r="H151" s="2">
        <v>999</v>
      </c>
      <c r="I151" s="2" t="inlineStr">
        <is>
          <t>3177</t>
        </is>
      </c>
      <c r="J151" s="4"/>
      <c r="K151" s="2">
        <v>48</v>
      </c>
      <c r="L151" s="6"/>
      <c r="M151" s="2" t="str">
        <f>IF(J151="",ROUND(I151*(1-IF(ISBLANK(L151),K151,L151)/100),2),ROUND(J151*(1-IF(ISBLANK(L151),K151,L151)/100),2))</f>
      </c>
      <c r="N151" s="7" t="str">
        <f>IF(NOT(AND(J151="",L151="")),IF(OR(AND(L151&lt;&gt;"",NOT(ISNUMBER(L151))),IFERROR(MOD(L151,1),1)&gt;0,AND(ISNUMBER(L151),OR(L151&lt;0,L151&gt;95))),"Введите целое число от 0 до 95",IF(OR(AND(J151&lt;&gt;"",NOT(ISNUMBER(J151))),IFERROR(MOD(J151,1),1)&gt;0,AND(ISNUMBER(J151),OR(J151&lt;50,J151&gt;20000000))),"Введите целое число от 50 до 20000000",IF(NOT(ABS(IFERROR(VALUE(LEFT(M151,FIND("-",M151)-1)),M151)*100-(2500+2000000000)/2)&lt;=ABS(2500-2000000000)/2),"Цена со скидкой должна быть от 25 до 20000000",IF(IFERROR(VALUE(LEFT(M151,FIND("-",M151)-1)),M151)*220&lt;165204,"Вы уменьшили цену в несколько раз, товар попадет в карантин цен",IF(AND(IFERROR(VALUE(I151),0)=0,ISNUMBER(J151),OR(J151&lt;211,ABS(IFERROR(VALUE(LEFT(M151,FIND("-",M151)-1)),M151))*100&lt;21100)),"Проверьте цену товара. Большинство товаров в выбранной категории стоят дороже 211",""))))),"")</f>
      </c>
    </row>
    <row r="152">
      <c r="A152" s="2" t="inlineStr">
        <is>
          <t>Крымский Хан</t>
        </is>
      </c>
      <c r="B152" s="2" t="inlineStr">
        <is>
          <t>Карандаши</t>
        </is>
      </c>
      <c r="C152" s="2">
        <v>298022094</v>
      </c>
      <c r="D152" s="2" t="inlineStr">
        <is>
          <t>Наконечник СССР</t>
        </is>
      </c>
      <c r="E152" s="2" t="inlineStr">
        <is>
          <t>2042153368222</t>
        </is>
      </c>
      <c r="F152" s="2">
        <v>1</v>
      </c>
      <c r="G152" s="2">
        <v>0</v>
      </c>
      <c r="H152" s="2">
        <v>39</v>
      </c>
      <c r="I152" s="2" t="inlineStr">
        <is>
          <t>1059</t>
        </is>
      </c>
      <c r="J152" s="4"/>
      <c r="K152" s="2">
        <v>31</v>
      </c>
      <c r="L152" s="6"/>
      <c r="M152" s="2" t="str">
        <f>IF(J152="",ROUND(I152*(1-IF(ISBLANK(L152),K152,L152)/100),2),ROUND(J152*(1-IF(ISBLANK(L152),K152,L152)/100),2))</f>
      </c>
      <c r="N152" s="7" t="str">
        <f>IF(NOT(AND(J152="",L152="")),IF(OR(AND(L152&lt;&gt;"",NOT(ISNUMBER(L152))),IFERROR(MOD(L152,1),1)&gt;0,AND(ISNUMBER(L152),OR(L152&lt;0,L152&gt;95))),"Введите целое число от 0 до 95",IF(OR(AND(J152&lt;&gt;"",NOT(ISNUMBER(J152))),IFERROR(MOD(J152,1),1)&gt;0,AND(ISNUMBER(J152),OR(J152&lt;50,J152&gt;20000000))),"Введите целое число от 50 до 20000000",IF(NOT(ABS(IFERROR(VALUE(LEFT(M152,FIND("-",M152)-1)),M152)*100-(2500+2000000000)/2)&lt;=ABS(2500-2000000000)/2),"Цена со скидкой должна быть от 25 до 20000000",IF(IFERROR(VALUE(LEFT(M152,FIND("-",M152)-1)),M152)*200&lt;73070,"Вы уменьшили цену в несколько раз, товар попадет в карантин цен",IF(AND(IFERROR(VALUE(I152),0)=0,ISNUMBER(J152),OR(J152&lt;145,ABS(IFERROR(VALUE(LEFT(M152,FIND("-",M152)-1)),M152))*100&lt;14500)),"Проверьте цену товара. Большинство товаров в выбранной категории стоят дороже 145",""))))),"")</f>
      </c>
    </row>
    <row r="153">
      <c r="A153" s="2" t="inlineStr">
        <is>
          <t>Крымский Хан</t>
        </is>
      </c>
      <c r="B153" s="2" t="inlineStr">
        <is>
          <t>Серьги</t>
        </is>
      </c>
      <c r="C153" s="2">
        <v>316654397</v>
      </c>
      <c r="D153" s="2" t="inlineStr">
        <is>
          <t>wb2qwvbwlpd</t>
        </is>
      </c>
      <c r="E153" s="2" t="inlineStr">
        <is>
          <t>2042574981550</t>
        </is>
      </c>
      <c r="F153" s="2">
        <v>19</v>
      </c>
      <c r="G153" s="2">
        <v>0</v>
      </c>
      <c r="H153" s="2">
        <v>157</v>
      </c>
      <c r="I153" s="2" t="inlineStr">
        <is>
          <t>2942</t>
        </is>
      </c>
      <c r="J153" s="4"/>
      <c r="K153" s="2">
        <v>37</v>
      </c>
      <c r="L153" s="6"/>
      <c r="M153" s="2" t="str">
        <f>IF(J153="",ROUND(I153*(1-IF(ISBLANK(L153),K153,L153)/100),2),ROUND(J153*(1-IF(ISBLANK(L153),K153,L153)/100),2))</f>
      </c>
      <c r="N153" s="7" t="str">
        <f>IF(NOT(AND(J153="",L153="")),IF(OR(AND(L153&lt;&gt;"",NOT(ISNUMBER(L153))),IFERROR(MOD(L153,1),1)&gt;0,AND(ISNUMBER(L153),OR(L153&lt;0,L153&gt;95))),"Введите целое число от 0 до 95",IF(OR(AND(J153&lt;&gt;"",NOT(ISNUMBER(J153))),IFERROR(MOD(J153,1),1)&gt;0,AND(ISNUMBER(J153),OR(J153&lt;50,J153&gt;20000000))),"Введите целое число от 50 до 20000000",IF(NOT(ABS(IFERROR(VALUE(LEFT(M153,FIND("-",M153)-1)),M153)*100-(2500+2000000000)/2)&lt;=ABS(2500-2000000000)/2),"Цена со скидкой должна быть от 25 до 20000000",IF(IFERROR(VALUE(LEFT(M153,FIND("-",M153)-1)),M153)*220&lt;185346,"Вы уменьшили цену в несколько раз, товар попадет в карантин цен",IF(AND(IFERROR(VALUE(I153),0)=0,ISNUMBER(J153),OR(J153&lt;211,ABS(IFERROR(VALUE(LEFT(M153,FIND("-",M153)-1)),M153))*100&lt;21100)),"Проверьте цену товара. Большинство товаров в выбранной категории стоят дороже 211",""))))),"")</f>
      </c>
    </row>
    <row r="154">
      <c r="A154" s="2" t="inlineStr">
        <is>
          <t/>
        </is>
      </c>
      <c r="B154" s="2" t="inlineStr">
        <is>
          <t>Браслеты</t>
        </is>
      </c>
      <c r="C154" s="2">
        <v>734566654</v>
      </c>
      <c r="D154" s="2" t="inlineStr">
        <is>
          <t>112</t>
        </is>
      </c>
      <c r="E154" s="2" t="inlineStr">
        <is>
          <t>2048129293222</t>
        </is>
      </c>
      <c r="F154" s="2" t="inlineStr">
        <is>
          <t/>
        </is>
      </c>
      <c r="G154" s="2" t="inlineStr">
        <is>
          <t/>
        </is>
      </c>
      <c r="H154" s="2" t="inlineStr">
        <is>
          <t/>
        </is>
      </c>
      <c r="I154" s="2" t="inlineStr">
        <is>
          <t>3530</t>
        </is>
      </c>
      <c r="J154" s="4"/>
      <c r="K154" s="2">
        <v>25</v>
      </c>
      <c r="L154" s="6"/>
      <c r="M154" s="2" t="str">
        <f>IF(J154="",ROUND(I154*(1-IF(ISBLANK(L154),K154,L154)/100),2),ROUND(J154*(1-IF(ISBLANK(L154),K154,L154)/100),2))</f>
      </c>
      <c r="N154" s="7" t="str">
        <f>IF(NOT(AND(J154="",L154="")),IF(OR(AND(L154&lt;&gt;"",NOT(ISNUMBER(L154))),IFERROR(MOD(L154,1),1)&gt;0,AND(ISNUMBER(L154),OR(L154&lt;0,L154&gt;95))),"Введите целое число от 0 до 95",IF(OR(AND(J154&lt;&gt;"",NOT(ISNUMBER(J154))),IFERROR(MOD(J154,1),1)&gt;0,AND(ISNUMBER(J154),OR(J154&lt;50,J154&gt;20000000))),"Введите целое число от 50 до 20000000",IF(NOT(ABS(IFERROR(VALUE(LEFT(M154,FIND("-",M154)-1)),M154)*100-(2500+2000000000)/2)&lt;=ABS(2500-2000000000)/2),"Цена со скидкой должна быть от 25 до 20000000",IF(IFERROR(VALUE(LEFT(M154,FIND("-",M154)-1)),M154)*220&lt;264750,"Вы уменьшили цену в несколько раз, товар попадет в карантин цен",IF(AND(IFERROR(VALUE(I154),0)=0,ISNUMBER(J154),OR(J154&lt;206,ABS(IFERROR(VALUE(LEFT(M154,FIND("-",M154)-1)),M154))*100&lt;20600)),"Проверьте цену товара. Большинство товаров в выбранной категории стоят дороже 206",""))))),"")</f>
      </c>
    </row>
    <row r="155">
      <c r="A155" s="2" t="inlineStr">
        <is>
          <t>ZS</t>
        </is>
      </c>
      <c r="B155" s="2" t="inlineStr">
        <is>
          <t>Банты</t>
        </is>
      </c>
      <c r="C155" s="2">
        <v>53560021</v>
      </c>
      <c r="D155" s="2" t="inlineStr">
        <is>
          <t>b0006розовый</t>
        </is>
      </c>
      <c r="E155" s="2" t="inlineStr">
        <is>
          <t>2015302574034</t>
        </is>
      </c>
      <c r="F155" s="2">
        <v>0</v>
      </c>
      <c r="G155" s="2">
        <v>0</v>
      </c>
      <c r="H155" s="2">
        <v>999</v>
      </c>
      <c r="I155" s="2" t="inlineStr">
        <is>
          <t>662</t>
        </is>
      </c>
      <c r="J155" s="4"/>
      <c r="K155" s="2">
        <v>15</v>
      </c>
      <c r="L155" s="6"/>
      <c r="M155" s="2" t="str">
        <f>IF(J155="",ROUND(I155*(1-IF(ISBLANK(L155),K155,L155)/100),2),ROUND(J155*(1-IF(ISBLANK(L155),K155,L155)/100),2))</f>
      </c>
      <c r="N155" s="7" t="str">
        <f>IF(NOT(AND(J155="",L155="")),IF(OR(AND(L155&lt;&gt;"",NOT(ISNUMBER(L155))),IFERROR(MOD(L155,1),1)&gt;0,AND(ISNUMBER(L155),OR(L155&lt;0,L155&gt;95))),"Введите целое число от 0 до 95",IF(OR(AND(J155&lt;&gt;"",NOT(ISNUMBER(J155))),IFERROR(MOD(J155,1),1)&gt;0,AND(ISNUMBER(J155),OR(J155&lt;50,J155&gt;20000000))),"Введите целое число от 50 до 20000000",IF(NOT(ABS(IFERROR(VALUE(LEFT(M155,FIND("-",M155)-1)),M155)*100-(2500+2000000000)/2)&lt;=ABS(2500-2000000000)/2),"Цена со скидкой должна быть от 25 до 20000000",IF(IFERROR(VALUE(LEFT(M155,FIND("-",M155)-1)),M155)*210&lt;56269,"Вы уменьшили цену в несколько раз, товар попадет в карантин цен",IF(AND(IFERROR(VALUE(I155),0)=0,ISNUMBER(J155),OR(J155&lt;165,ABS(IFERROR(VALUE(LEFT(M155,FIND("-",M155)-1)),M155))*100&lt;16500)),"Проверьте цену товара. Большинство товаров в выбранной категории стоят дороже 165",""))))),"")</f>
      </c>
    </row>
    <row r="156">
      <c r="A156" s="2" t="inlineStr">
        <is>
          <t/>
        </is>
      </c>
      <c r="B156" s="2" t="inlineStr">
        <is>
          <t>Браслеты</t>
        </is>
      </c>
      <c r="C156" s="2">
        <v>734566650</v>
      </c>
      <c r="D156" s="2" t="inlineStr">
        <is>
          <t>109</t>
        </is>
      </c>
      <c r="E156" s="2" t="inlineStr">
        <is>
          <t>2048129293192</t>
        </is>
      </c>
      <c r="F156" s="2" t="inlineStr">
        <is>
          <t/>
        </is>
      </c>
      <c r="G156" s="2" t="inlineStr">
        <is>
          <t/>
        </is>
      </c>
      <c r="H156" s="2" t="inlineStr">
        <is>
          <t/>
        </is>
      </c>
      <c r="I156" s="2" t="inlineStr">
        <is>
          <t>3530</t>
        </is>
      </c>
      <c r="J156" s="4"/>
      <c r="K156" s="2">
        <v>25</v>
      </c>
      <c r="L156" s="6"/>
      <c r="M156" s="2" t="str">
        <f>IF(J156="",ROUND(I156*(1-IF(ISBLANK(L156),K156,L156)/100),2),ROUND(J156*(1-IF(ISBLANK(L156),K156,L156)/100),2))</f>
      </c>
      <c r="N156" s="7" t="str">
        <f>IF(NOT(AND(J156="",L156="")),IF(OR(AND(L156&lt;&gt;"",NOT(ISNUMBER(L156))),IFERROR(MOD(L156,1),1)&gt;0,AND(ISNUMBER(L156),OR(L156&lt;0,L156&gt;95))),"Введите целое число от 0 до 95",IF(OR(AND(J156&lt;&gt;"",NOT(ISNUMBER(J156))),IFERROR(MOD(J156,1),1)&gt;0,AND(ISNUMBER(J156),OR(J156&lt;50,J156&gt;20000000))),"Введите целое число от 50 до 20000000",IF(NOT(ABS(IFERROR(VALUE(LEFT(M156,FIND("-",M156)-1)),M156)*100-(2500+2000000000)/2)&lt;=ABS(2500-2000000000)/2),"Цена со скидкой должна быть от 25 до 20000000",IF(IFERROR(VALUE(LEFT(M156,FIND("-",M156)-1)),M156)*220&lt;264750,"Вы уменьшили цену в несколько раз, товар попадет в карантин цен",IF(AND(IFERROR(VALUE(I156),0)=0,ISNUMBER(J156),OR(J156&lt;206,ABS(IFERROR(VALUE(LEFT(M156,FIND("-",M156)-1)),M156))*100&lt;20600)),"Проверьте цену товара. Большинство товаров в выбранной категории стоят дороже 206",""))))),"")</f>
      </c>
    </row>
    <row r="157">
      <c r="A157" s="2" t="inlineStr">
        <is>
          <t/>
        </is>
      </c>
      <c r="B157" s="2" t="inlineStr">
        <is>
          <t>Серьги</t>
        </is>
      </c>
      <c r="C157" s="2">
        <v>734549762</v>
      </c>
      <c r="D157" s="2" t="inlineStr">
        <is>
          <t>149</t>
        </is>
      </c>
      <c r="E157" s="2" t="inlineStr">
        <is>
          <t>2048129076269</t>
        </is>
      </c>
      <c r="F157" s="2" t="inlineStr">
        <is>
          <t/>
        </is>
      </c>
      <c r="G157" s="2" t="inlineStr">
        <is>
          <t/>
        </is>
      </c>
      <c r="H157" s="2" t="inlineStr">
        <is>
          <t/>
        </is>
      </c>
      <c r="I157" s="2" t="inlineStr">
        <is>
          <t>3000</t>
        </is>
      </c>
      <c r="J157" s="4"/>
      <c r="K157" s="2">
        <v>5</v>
      </c>
      <c r="L157" s="6"/>
      <c r="M157" s="2" t="str">
        <f>IF(J157="",ROUND(I157*(1-IF(ISBLANK(L157),K157,L157)/100),2),ROUND(J157*(1-IF(ISBLANK(L157),K157,L157)/100),2))</f>
      </c>
      <c r="N157" s="7" t="str">
        <f>IF(NOT(AND(J157="",L157="")),IF(OR(AND(L157&lt;&gt;"",NOT(ISNUMBER(L157))),IFERROR(MOD(L157,1),1)&gt;0,AND(ISNUMBER(L157),OR(L157&lt;0,L157&gt;95))),"Введите целое число от 0 до 95",IF(OR(AND(J157&lt;&gt;"",NOT(ISNUMBER(J157))),IFERROR(MOD(J157,1),1)&gt;0,AND(ISNUMBER(J157),OR(J157&lt;50,J157&gt;20000000))),"Введите целое число от 50 до 20000000",IF(NOT(ABS(IFERROR(VALUE(LEFT(M157,FIND("-",M157)-1)),M157)*100-(2500+2000000000)/2)&lt;=ABS(2500-2000000000)/2),"Цена со скидкой должна быть от 25 до 20000000",IF(IFERROR(VALUE(LEFT(M157,FIND("-",M157)-1)),M157)*220&lt;285000,"Вы уменьшили цену в несколько раз, товар попадет в карантин цен",IF(AND(IFERROR(VALUE(I157),0)=0,ISNUMBER(J157),OR(J157&lt;211,ABS(IFERROR(VALUE(LEFT(M157,FIND("-",M157)-1)),M157))*100&lt;21100)),"Проверьте цену товара. Большинство товаров в выбранной категории стоят дороже 211",""))))),"")</f>
      </c>
    </row>
    <row r="158">
      <c r="A158" s="2" t="inlineStr">
        <is>
          <t>ZS</t>
        </is>
      </c>
      <c r="B158" s="2" t="inlineStr">
        <is>
          <t>Банты</t>
        </is>
      </c>
      <c r="C158" s="2">
        <v>53560020</v>
      </c>
      <c r="D158" s="2" t="inlineStr">
        <is>
          <t>b0003белый</t>
        </is>
      </c>
      <c r="E158" s="2" t="inlineStr">
        <is>
          <t>2015302574072</t>
        </is>
      </c>
      <c r="F158" s="2" t="inlineStr">
        <is>
          <t/>
        </is>
      </c>
      <c r="G158" s="2" t="inlineStr">
        <is>
          <t/>
        </is>
      </c>
      <c r="H158" s="2">
        <v>0</v>
      </c>
      <c r="I158" s="2" t="inlineStr">
        <is>
          <t>768</t>
        </is>
      </c>
      <c r="J158" s="4"/>
      <c r="K158" s="2">
        <v>15</v>
      </c>
      <c r="L158" s="6"/>
      <c r="M158" s="2" t="str">
        <f>IF(J158="",ROUND(I158*(1-IF(ISBLANK(L158),K158,L158)/100),2),ROUND(J158*(1-IF(ISBLANK(L158),K158,L158)/100),2))</f>
      </c>
      <c r="N158" s="7" t="str">
        <f>IF(NOT(AND(J158="",L158="")),IF(OR(AND(L158&lt;&gt;"",NOT(ISNUMBER(L158))),IFERROR(MOD(L158,1),1)&gt;0,AND(ISNUMBER(L158),OR(L158&lt;0,L158&gt;95))),"Введите целое число от 0 до 95",IF(OR(AND(J158&lt;&gt;"",NOT(ISNUMBER(J158))),IFERROR(MOD(J158,1),1)&gt;0,AND(ISNUMBER(J158),OR(J158&lt;50,J158&gt;20000000))),"Введите целое число от 50 до 20000000",IF(NOT(ABS(IFERROR(VALUE(LEFT(M158,FIND("-",M158)-1)),M158)*100-(2500+2000000000)/2)&lt;=ABS(2500-2000000000)/2),"Цена со скидкой должна быть от 25 до 20000000",IF(IFERROR(VALUE(LEFT(M158,FIND("-",M158)-1)),M158)*210&lt;65279,"Вы уменьшили цену в несколько раз, товар попадет в карантин цен",IF(AND(IFERROR(VALUE(I158),0)=0,ISNUMBER(J158),OR(J158&lt;165,ABS(IFERROR(VALUE(LEFT(M158,FIND("-",M158)-1)),M158))*100&lt;16500)),"Проверьте цену товара. Большинство товаров в выбранной категории стоят дороже 165",""))))),"")</f>
      </c>
    </row>
    <row r="159">
      <c r="A159" s="2" t="inlineStr">
        <is>
          <t/>
        </is>
      </c>
      <c r="B159" s="2" t="inlineStr">
        <is>
          <t>Серьги</t>
        </is>
      </c>
      <c r="C159" s="2">
        <v>734549763</v>
      </c>
      <c r="D159" s="2" t="inlineStr">
        <is>
          <t>150</t>
        </is>
      </c>
      <c r="E159" s="2" t="inlineStr">
        <is>
          <t>2048129076276</t>
        </is>
      </c>
      <c r="F159" s="2" t="inlineStr">
        <is>
          <t/>
        </is>
      </c>
      <c r="G159" s="2" t="inlineStr">
        <is>
          <t/>
        </is>
      </c>
      <c r="H159" s="2" t="inlineStr">
        <is>
          <t/>
        </is>
      </c>
      <c r="I159" s="2" t="inlineStr">
        <is>
          <t>3000</t>
        </is>
      </c>
      <c r="J159" s="4"/>
      <c r="K159" s="2">
        <v>5</v>
      </c>
      <c r="L159" s="6"/>
      <c r="M159" s="2" t="str">
        <f>IF(J159="",ROUND(I159*(1-IF(ISBLANK(L159),K159,L159)/100),2),ROUND(J159*(1-IF(ISBLANK(L159),K159,L159)/100),2))</f>
      </c>
      <c r="N159" s="7" t="str">
        <f>IF(NOT(AND(J159="",L159="")),IF(OR(AND(L159&lt;&gt;"",NOT(ISNUMBER(L159))),IFERROR(MOD(L159,1),1)&gt;0,AND(ISNUMBER(L159),OR(L159&lt;0,L159&gt;95))),"Введите целое число от 0 до 95",IF(OR(AND(J159&lt;&gt;"",NOT(ISNUMBER(J159))),IFERROR(MOD(J159,1),1)&gt;0,AND(ISNUMBER(J159),OR(J159&lt;50,J159&gt;20000000))),"Введите целое число от 50 до 20000000",IF(NOT(ABS(IFERROR(VALUE(LEFT(M159,FIND("-",M159)-1)),M159)*100-(2500+2000000000)/2)&lt;=ABS(2500-2000000000)/2),"Цена со скидкой должна быть от 25 до 20000000",IF(IFERROR(VALUE(LEFT(M159,FIND("-",M159)-1)),M159)*220&lt;285000,"Вы уменьшили цену в несколько раз, товар попадет в карантин цен",IF(AND(IFERROR(VALUE(I159),0)=0,ISNUMBER(J159),OR(J159&lt;211,ABS(IFERROR(VALUE(LEFT(M159,FIND("-",M159)-1)),M159))*100&lt;21100)),"Проверьте цену товара. Большинство товаров в выбранной категории стоят дороже 211",""))))),"")</f>
      </c>
    </row>
    <row r="160">
      <c r="A160" s="2" t="inlineStr">
        <is>
          <t>ZS</t>
        </is>
      </c>
      <c r="B160" s="2" t="inlineStr">
        <is>
          <t>Банты</t>
        </is>
      </c>
      <c r="C160" s="2">
        <v>53560022</v>
      </c>
      <c r="D160" s="2" t="inlineStr">
        <is>
          <t>b0007зеленый</t>
        </is>
      </c>
      <c r="E160" s="2" t="inlineStr">
        <is>
          <t>2015302574041</t>
        </is>
      </c>
      <c r="F160" s="2" t="inlineStr">
        <is>
          <t/>
        </is>
      </c>
      <c r="G160" s="2" t="inlineStr">
        <is>
          <t/>
        </is>
      </c>
      <c r="H160" s="2">
        <v>0</v>
      </c>
      <c r="I160" s="2" t="inlineStr">
        <is>
          <t>706</t>
        </is>
      </c>
      <c r="J160" s="4"/>
      <c r="K160" s="2">
        <v>15</v>
      </c>
      <c r="L160" s="6"/>
      <c r="M160" s="2" t="str">
        <f>IF(J160="",ROUND(I160*(1-IF(ISBLANK(L160),K160,L160)/100),2),ROUND(J160*(1-IF(ISBLANK(L160),K160,L160)/100),2))</f>
      </c>
      <c r="N160" s="7" t="str">
        <f>IF(NOT(AND(J160="",L160="")),IF(OR(AND(L160&lt;&gt;"",NOT(ISNUMBER(L160))),IFERROR(MOD(L160,1),1)&gt;0,AND(ISNUMBER(L160),OR(L160&lt;0,L160&gt;95))),"Введите целое число от 0 до 95",IF(OR(AND(J160&lt;&gt;"",NOT(ISNUMBER(J160))),IFERROR(MOD(J160,1),1)&gt;0,AND(ISNUMBER(J160),OR(J160&lt;50,J160&gt;20000000))),"Введите целое число от 50 до 20000000",IF(NOT(ABS(IFERROR(VALUE(LEFT(M160,FIND("-",M160)-1)),M160)*100-(2500+2000000000)/2)&lt;=ABS(2500-2000000000)/2),"Цена со скидкой должна быть от 25 до 20000000",IF(IFERROR(VALUE(LEFT(M160,FIND("-",M160)-1)),M160)*210&lt;60010,"Вы уменьшили цену в несколько раз, товар попадет в карантин цен",IF(AND(IFERROR(VALUE(I160),0)=0,ISNUMBER(J160),OR(J160&lt;165,ABS(IFERROR(VALUE(LEFT(M160,FIND("-",M160)-1)),M160))*100&lt;16500)),"Проверьте цену товара. Большинство товаров в выбранной категории стоят дороже 165",""))))),"")</f>
      </c>
    </row>
    <row r="161">
      <c r="A161" s="2" t="inlineStr">
        <is>
          <t>Крымский Хан</t>
        </is>
      </c>
      <c r="B161" s="2" t="inlineStr">
        <is>
          <t>Серьги</t>
        </is>
      </c>
      <c r="C161" s="2">
        <v>734549737</v>
      </c>
      <c r="D161" s="2" t="inlineStr">
        <is>
          <t>148</t>
        </is>
      </c>
      <c r="E161" s="2" t="inlineStr">
        <is>
          <t>2048129076085</t>
        </is>
      </c>
      <c r="F161" s="2" t="inlineStr">
        <is>
          <t/>
        </is>
      </c>
      <c r="G161" s="2" t="inlineStr">
        <is>
          <t/>
        </is>
      </c>
      <c r="H161" s="2" t="inlineStr">
        <is>
          <t/>
        </is>
      </c>
      <c r="I161" s="2" t="inlineStr">
        <is>
          <t>3000</t>
        </is>
      </c>
      <c r="J161" s="4"/>
      <c r="K161" s="2">
        <v>5</v>
      </c>
      <c r="L161" s="6"/>
      <c r="M161" s="2" t="str">
        <f>IF(J161="",ROUND(I161*(1-IF(ISBLANK(L161),K161,L161)/100),2),ROUND(J161*(1-IF(ISBLANK(L161),K161,L161)/100),2))</f>
      </c>
      <c r="N161" s="7" t="str">
        <f>IF(NOT(AND(J161="",L161="")),IF(OR(AND(L161&lt;&gt;"",NOT(ISNUMBER(L161))),IFERROR(MOD(L161,1),1)&gt;0,AND(ISNUMBER(L161),OR(L161&lt;0,L161&gt;95))),"Введите целое число от 0 до 95",IF(OR(AND(J161&lt;&gt;"",NOT(ISNUMBER(J161))),IFERROR(MOD(J161,1),1)&gt;0,AND(ISNUMBER(J161),OR(J161&lt;50,J161&gt;20000000))),"Введите целое число от 50 до 20000000",IF(NOT(ABS(IFERROR(VALUE(LEFT(M161,FIND("-",M161)-1)),M161)*100-(2500+2000000000)/2)&lt;=ABS(2500-2000000000)/2),"Цена со скидкой должна быть от 25 до 20000000",IF(IFERROR(VALUE(LEFT(M161,FIND("-",M161)-1)),M161)*220&lt;285000,"Вы уменьшили цену в несколько раз, товар попадет в карантин цен",IF(AND(IFERROR(VALUE(I161),0)=0,ISNUMBER(J161),OR(J161&lt;211,ABS(IFERROR(VALUE(LEFT(M161,FIND("-",M161)-1)),M161))*100&lt;21100)),"Проверьте цену товара. Большинство товаров в выбранной категории стоят дороже 211",""))))),"")</f>
      </c>
    </row>
    <row r="162">
      <c r="A162" s="2" t="inlineStr">
        <is>
          <t/>
        </is>
      </c>
      <c r="B162" s="2" t="inlineStr">
        <is>
          <t>Серьги</t>
        </is>
      </c>
      <c r="C162" s="2">
        <v>734549772</v>
      </c>
      <c r="D162" s="2" t="inlineStr">
        <is>
          <t>159</t>
        </is>
      </c>
      <c r="E162" s="2" t="inlineStr">
        <is>
          <t>2048129076412</t>
        </is>
      </c>
      <c r="F162" s="2">
        <v>19</v>
      </c>
      <c r="G162" s="2">
        <v>0</v>
      </c>
      <c r="H162" s="2">
        <v>999</v>
      </c>
      <c r="I162" s="2" t="inlineStr">
        <is>
          <t>3000</t>
        </is>
      </c>
      <c r="J162" s="4"/>
      <c r="K162" s="2">
        <v>42</v>
      </c>
      <c r="L162" s="6"/>
      <c r="M162" s="2" t="str">
        <f>IF(J162="",ROUND(I162*(1-IF(ISBLANK(L162),K162,L162)/100),2),ROUND(J162*(1-IF(ISBLANK(L162),K162,L162)/100),2))</f>
      </c>
      <c r="N162" s="7" t="str">
        <f>IF(NOT(AND(J162="",L162="")),IF(OR(AND(L162&lt;&gt;"",NOT(ISNUMBER(L162))),IFERROR(MOD(L162,1),1)&gt;0,AND(ISNUMBER(L162),OR(L162&lt;0,L162&gt;95))),"Введите целое число от 0 до 95",IF(OR(AND(J162&lt;&gt;"",NOT(ISNUMBER(J162))),IFERROR(MOD(J162,1),1)&gt;0,AND(ISNUMBER(J162),OR(J162&lt;50,J162&gt;20000000))),"Введите целое число от 50 до 20000000",IF(NOT(ABS(IFERROR(VALUE(LEFT(M162,FIND("-",M162)-1)),M162)*100-(2500+2000000000)/2)&lt;=ABS(2500-2000000000)/2),"Цена со скидкой должна быть от 25 до 20000000",IF(IFERROR(VALUE(LEFT(M162,FIND("-",M162)-1)),M162)*220&lt;174000,"Вы уменьшили цену в несколько раз, товар попадет в карантин цен",IF(AND(IFERROR(VALUE(I162),0)=0,ISNUMBER(J162),OR(J162&lt;211,ABS(IFERROR(VALUE(LEFT(M162,FIND("-",M162)-1)),M162))*100&lt;21100)),"Проверьте цену товара. Большинство товаров в выбранной категории стоят дороже 211",""))))),"")</f>
      </c>
    </row>
    <row r="163">
      <c r="A163" s="2" t="inlineStr">
        <is>
          <t>Крымский Хан</t>
        </is>
      </c>
      <c r="B163" s="2" t="inlineStr">
        <is>
          <t>Серьги</t>
        </is>
      </c>
      <c r="C163" s="2">
        <v>268147387</v>
      </c>
      <c r="D163" s="2" t="inlineStr">
        <is>
          <t>серьги 25</t>
        </is>
      </c>
      <c r="E163" s="2" t="inlineStr">
        <is>
          <t>2041388839897</t>
        </is>
      </c>
      <c r="F163" s="2">
        <v>19</v>
      </c>
      <c r="G163" s="2">
        <v>10</v>
      </c>
      <c r="H163" s="2">
        <v>75</v>
      </c>
      <c r="I163" s="2" t="inlineStr">
        <is>
          <t>3177</t>
        </is>
      </c>
      <c r="J163" s="4"/>
      <c r="K163" s="2">
        <v>36</v>
      </c>
      <c r="L163" s="6"/>
      <c r="M163" s="2" t="str">
        <f>IF(J163="",ROUND(I163*(1-IF(ISBLANK(L163),K163,L163)/100),2),ROUND(J163*(1-IF(ISBLANK(L163),K163,L163)/100),2))</f>
      </c>
      <c r="N163" s="7" t="str">
        <f>IF(NOT(AND(J163="",L163="")),IF(OR(AND(L163&lt;&gt;"",NOT(ISNUMBER(L163))),IFERROR(MOD(L163,1),1)&gt;0,AND(ISNUMBER(L163),OR(L163&lt;0,L163&gt;95))),"Введите целое число от 0 до 95",IF(OR(AND(J163&lt;&gt;"",NOT(ISNUMBER(J163))),IFERROR(MOD(J163,1),1)&gt;0,AND(ISNUMBER(J163),OR(J163&lt;50,J163&gt;20000000))),"Введите целое число от 50 до 20000000",IF(NOT(ABS(IFERROR(VALUE(LEFT(M163,FIND("-",M163)-1)),M163)*100-(2500+2000000000)/2)&lt;=ABS(2500-2000000000)/2),"Цена со скидкой должна быть от 25 до 20000000",IF(IFERROR(VALUE(LEFT(M163,FIND("-",M163)-1)),M163)*220&lt;203328,"Вы уменьшили цену в несколько раз, товар попадет в карантин цен",IF(AND(IFERROR(VALUE(I163),0)=0,ISNUMBER(J163),OR(J163&lt;211,ABS(IFERROR(VALUE(LEFT(M163,FIND("-",M163)-1)),M163))*100&lt;21100)),"Проверьте цену товара. Большинство товаров в выбранной категории стоят дороже 211",""))))),"")</f>
      </c>
    </row>
    <row r="164">
      <c r="A164" s="2" t="inlineStr">
        <is>
          <t>ZS</t>
        </is>
      </c>
      <c r="B164" s="2" t="inlineStr">
        <is>
          <t>Банты</t>
        </is>
      </c>
      <c r="C164" s="2">
        <v>53560026</v>
      </c>
      <c r="D164" s="2" t="inlineStr">
        <is>
          <t>b0004черный</t>
        </is>
      </c>
      <c r="E164" s="2" t="inlineStr">
        <is>
          <t>2015302574065</t>
        </is>
      </c>
      <c r="F164" s="2" t="inlineStr">
        <is>
          <t/>
        </is>
      </c>
      <c r="G164" s="2" t="inlineStr">
        <is>
          <t/>
        </is>
      </c>
      <c r="H164" s="2">
        <v>0</v>
      </c>
      <c r="I164" s="2" t="inlineStr">
        <is>
          <t>795</t>
        </is>
      </c>
      <c r="J164" s="4"/>
      <c r="K164" s="2">
        <v>15</v>
      </c>
      <c r="L164" s="6"/>
      <c r="M164" s="2" t="str">
        <f>IF(J164="",ROUND(I164*(1-IF(ISBLANK(L164),K164,L164)/100),2),ROUND(J164*(1-IF(ISBLANK(L164),K164,L164)/100),2))</f>
      </c>
      <c r="N164" s="7" t="str">
        <f>IF(NOT(AND(J164="",L164="")),IF(OR(AND(L164&lt;&gt;"",NOT(ISNUMBER(L164))),IFERROR(MOD(L164,1),1)&gt;0,AND(ISNUMBER(L164),OR(L164&lt;0,L164&gt;95))),"Введите целое число от 0 до 95",IF(OR(AND(J164&lt;&gt;"",NOT(ISNUMBER(J164))),IFERROR(MOD(J164,1),1)&gt;0,AND(ISNUMBER(J164),OR(J164&lt;50,J164&gt;20000000))),"Введите целое число от 50 до 20000000",IF(NOT(ABS(IFERROR(VALUE(LEFT(M164,FIND("-",M164)-1)),M164)*100-(2500+2000000000)/2)&lt;=ABS(2500-2000000000)/2),"Цена со скидкой должна быть от 25 до 20000000",IF(IFERROR(VALUE(LEFT(M164,FIND("-",M164)-1)),M164)*210&lt;67575,"Вы уменьшили цену в несколько раз, товар попадет в карантин цен",IF(AND(IFERROR(VALUE(I164),0)=0,ISNUMBER(J164),OR(J164&lt;165,ABS(IFERROR(VALUE(LEFT(M164,FIND("-",M164)-1)),M164))*100&lt;16500)),"Проверьте цену товара. Большинство товаров в выбранной категории стоят дороже 165",""))))),"")</f>
      </c>
    </row>
    <row r="165">
      <c r="A165" s="2" t="inlineStr">
        <is>
          <t>Крымский Хан</t>
        </is>
      </c>
      <c r="B165" s="2" t="inlineStr">
        <is>
          <t>Серьги</t>
        </is>
      </c>
      <c r="C165" s="2">
        <v>316654409</v>
      </c>
      <c r="D165" s="2" t="inlineStr">
        <is>
          <t>104</t>
        </is>
      </c>
      <c r="E165" s="2" t="inlineStr">
        <is>
          <t>2042574981659</t>
        </is>
      </c>
      <c r="F165" s="2">
        <v>5</v>
      </c>
      <c r="G165" s="2">
        <v>0</v>
      </c>
      <c r="H165" s="2">
        <v>999</v>
      </c>
      <c r="I165" s="2" t="inlineStr">
        <is>
          <t>2942</t>
        </is>
      </c>
      <c r="J165" s="4"/>
      <c r="K165" s="2">
        <v>51</v>
      </c>
      <c r="L165" s="6"/>
      <c r="M165" s="2" t="str">
        <f>IF(J165="",ROUND(I165*(1-IF(ISBLANK(L165),K165,L165)/100),2),ROUND(J165*(1-IF(ISBLANK(L165),K165,L165)/100),2))</f>
      </c>
      <c r="N165" s="7" t="str">
        <f>IF(NOT(AND(J165="",L165="")),IF(OR(AND(L165&lt;&gt;"",NOT(ISNUMBER(L165))),IFERROR(MOD(L165,1),1)&gt;0,AND(ISNUMBER(L165),OR(L165&lt;0,L165&gt;95))),"Введите целое число от 0 до 95",IF(OR(AND(J165&lt;&gt;"",NOT(ISNUMBER(J165))),IFERROR(MOD(J165,1),1)&gt;0,AND(ISNUMBER(J165),OR(J165&lt;50,J165&gt;20000000))),"Введите целое число от 50 до 20000000",IF(NOT(ABS(IFERROR(VALUE(LEFT(M165,FIND("-",M165)-1)),M165)*100-(2500+2000000000)/2)&lt;=ABS(2500-2000000000)/2),"Цена со скидкой должна быть от 25 до 20000000",IF(IFERROR(VALUE(LEFT(M165,FIND("-",M165)-1)),M165)*220&lt;144158,"Вы уменьшили цену в несколько раз, товар попадет в карантин цен",IF(AND(IFERROR(VALUE(I165),0)=0,ISNUMBER(J165),OR(J165&lt;211,ABS(IFERROR(VALUE(LEFT(M165,FIND("-",M165)-1)),M165))*100&lt;21100)),"Проверьте цену товара. Большинство товаров в выбранной категории стоят дороже 211",""))))),"")</f>
      </c>
    </row>
    <row r="166">
      <c r="A166" s="2" t="inlineStr">
        <is>
          <t>ZS</t>
        </is>
      </c>
      <c r="B166" s="2" t="inlineStr">
        <is>
          <t>Банты</t>
        </is>
      </c>
      <c r="C166" s="2">
        <v>53560023</v>
      </c>
      <c r="D166" s="2" t="inlineStr">
        <is>
          <t>b0001желтый</t>
        </is>
      </c>
      <c r="E166" s="2" t="inlineStr">
        <is>
          <t>2015302574096</t>
        </is>
      </c>
      <c r="F166" s="2">
        <v>0</v>
      </c>
      <c r="G166" s="2">
        <v>0</v>
      </c>
      <c r="H166" s="2">
        <v>0</v>
      </c>
      <c r="I166" s="2" t="inlineStr">
        <is>
          <t>512</t>
        </is>
      </c>
      <c r="J166" s="4"/>
      <c r="K166" s="2">
        <v>15</v>
      </c>
      <c r="L166" s="6"/>
      <c r="M166" s="2" t="str">
        <f>IF(J166="",ROUND(I166*(1-IF(ISBLANK(L166),K166,L166)/100),2),ROUND(J166*(1-IF(ISBLANK(L166),K166,L166)/100),2))</f>
      </c>
      <c r="N166" s="7" t="str">
        <f>IF(NOT(AND(J166="",L166="")),IF(OR(AND(L166&lt;&gt;"",NOT(ISNUMBER(L166))),IFERROR(MOD(L166,1),1)&gt;0,AND(ISNUMBER(L166),OR(L166&lt;0,L166&gt;95))),"Введите целое число от 0 до 95",IF(OR(AND(J166&lt;&gt;"",NOT(ISNUMBER(J166))),IFERROR(MOD(J166,1),1)&gt;0,AND(ISNUMBER(J166),OR(J166&lt;50,J166&gt;20000000))),"Введите целое число от 50 до 20000000",IF(NOT(ABS(IFERROR(VALUE(LEFT(M166,FIND("-",M166)-1)),M166)*100-(2500+2000000000)/2)&lt;=ABS(2500-2000000000)/2),"Цена со скидкой должна быть от 25 до 20000000",IF(IFERROR(VALUE(LEFT(M166,FIND("-",M166)-1)),M166)*210&lt;43520,"Вы уменьшили цену в несколько раз, товар попадет в карантин цен",IF(AND(IFERROR(VALUE(I166),0)=0,ISNUMBER(J166),OR(J166&lt;165,ABS(IFERROR(VALUE(LEFT(M166,FIND("-",M166)-1)),M166))*100&lt;16500)),"Проверьте цену товара. Большинство товаров в выбранной категории стоят дороже 165",""))))),"")</f>
      </c>
    </row>
    <row r="167">
      <c r="A167" s="2" t="inlineStr">
        <is>
          <t>Крымский Хан</t>
        </is>
      </c>
      <c r="B167" s="2" t="inlineStr">
        <is>
          <t>Браслеты</t>
        </is>
      </c>
      <c r="C167" s="2">
        <v>266789964</v>
      </c>
      <c r="D167" s="2" t="inlineStr">
        <is>
          <t>12</t>
        </is>
      </c>
      <c r="E167" s="2" t="inlineStr">
        <is>
          <t>2041360527279</t>
        </is>
      </c>
      <c r="F167" s="2">
        <v>10</v>
      </c>
      <c r="G167" s="2">
        <v>10</v>
      </c>
      <c r="H167" s="2">
        <v>204</v>
      </c>
      <c r="I167" s="2" t="inlineStr">
        <is>
          <t>3530</t>
        </is>
      </c>
      <c r="J167" s="4"/>
      <c r="K167" s="2">
        <v>32</v>
      </c>
      <c r="L167" s="6"/>
      <c r="M167" s="2" t="str">
        <f>IF(J167="",ROUND(I167*(1-IF(ISBLANK(L167),K167,L167)/100),2),ROUND(J167*(1-IF(ISBLANK(L167),K167,L167)/100),2))</f>
      </c>
      <c r="N167" s="7" t="str">
        <f>IF(NOT(AND(J167="",L167="")),IF(OR(AND(L167&lt;&gt;"",NOT(ISNUMBER(L167))),IFERROR(MOD(L167,1),1)&gt;0,AND(ISNUMBER(L167),OR(L167&lt;0,L167&gt;95))),"Введите целое число от 0 до 95",IF(OR(AND(J167&lt;&gt;"",NOT(ISNUMBER(J167))),IFERROR(MOD(J167,1),1)&gt;0,AND(ISNUMBER(J167),OR(J167&lt;50,J167&gt;20000000))),"Введите целое число от 50 до 20000000",IF(NOT(ABS(IFERROR(VALUE(LEFT(M167,FIND("-",M167)-1)),M167)*100-(2500+2000000000)/2)&lt;=ABS(2500-2000000000)/2),"Цена со скидкой должна быть от 25 до 20000000",IF(IFERROR(VALUE(LEFT(M167,FIND("-",M167)-1)),M167)*220&lt;240039,"Вы уменьшили цену в несколько раз, товар попадет в карантин цен",IF(AND(IFERROR(VALUE(I167),0)=0,ISNUMBER(J167),OR(J167&lt;206,ABS(IFERROR(VALUE(LEFT(M167,FIND("-",M167)-1)),M167))*100&lt;20600)),"Проверьте цену товара. Большинство товаров в выбранной категории стоят дороже 206",""))))),"")</f>
      </c>
    </row>
    <row r="168">
      <c r="A168" s="2" t="inlineStr">
        <is>
          <t>Крымский Хан</t>
        </is>
      </c>
      <c r="B168" s="2" t="inlineStr">
        <is>
          <t>Серьги</t>
        </is>
      </c>
      <c r="C168" s="2">
        <v>316654394</v>
      </c>
      <c r="D168" s="2" t="inlineStr">
        <is>
          <t>91</t>
        </is>
      </c>
      <c r="E168" s="2" t="inlineStr">
        <is>
          <t>2042574981529</t>
        </is>
      </c>
      <c r="F168" s="2">
        <v>14</v>
      </c>
      <c r="G168" s="2">
        <v>0</v>
      </c>
      <c r="H168" s="2">
        <v>57</v>
      </c>
      <c r="I168" s="2" t="inlineStr">
        <is>
          <t>2942</t>
        </is>
      </c>
      <c r="J168" s="4"/>
      <c r="K168" s="2">
        <v>36</v>
      </c>
      <c r="L168" s="6"/>
      <c r="M168" s="2" t="str">
        <f>IF(J168="",ROUND(I168*(1-IF(ISBLANK(L168),K168,L168)/100),2),ROUND(J168*(1-IF(ISBLANK(L168),K168,L168)/100),2))</f>
      </c>
      <c r="N168" s="7" t="str">
        <f>IF(NOT(AND(J168="",L168="")),IF(OR(AND(L168&lt;&gt;"",NOT(ISNUMBER(L168))),IFERROR(MOD(L168,1),1)&gt;0,AND(ISNUMBER(L168),OR(L168&lt;0,L168&gt;95))),"Введите целое число от 0 до 95",IF(OR(AND(J168&lt;&gt;"",NOT(ISNUMBER(J168))),IFERROR(MOD(J168,1),1)&gt;0,AND(ISNUMBER(J168),OR(J168&lt;50,J168&gt;20000000))),"Введите целое число от 50 до 20000000",IF(NOT(ABS(IFERROR(VALUE(LEFT(M168,FIND("-",M168)-1)),M168)*100-(2500+2000000000)/2)&lt;=ABS(2500-2000000000)/2),"Цена со скидкой должна быть от 25 до 20000000",IF(IFERROR(VALUE(LEFT(M168,FIND("-",M168)-1)),M168)*220&lt;188288,"Вы уменьшили цену в несколько раз, товар попадет в карантин цен",IF(AND(IFERROR(VALUE(I168),0)=0,ISNUMBER(J168),OR(J168&lt;211,ABS(IFERROR(VALUE(LEFT(M168,FIND("-",M168)-1)),M168))*100&lt;21100)),"Проверьте цену товара. Большинство товаров в выбранной категории стоят дороже 211",""))))),"")</f>
      </c>
    </row>
    <row r="169">
      <c r="A169" s="2" t="inlineStr">
        <is>
          <t>Крымский Хан</t>
        </is>
      </c>
      <c r="B169" s="2" t="inlineStr">
        <is>
          <t>Брелоки</t>
        </is>
      </c>
      <c r="C169" s="2">
        <v>197491603</v>
      </c>
      <c r="D169" s="2" t="inlineStr">
        <is>
          <t>Береги. Love</t>
        </is>
      </c>
      <c r="E169" s="2" t="inlineStr">
        <is>
          <t>2039214765977</t>
        </is>
      </c>
      <c r="F169" s="2">
        <v>3</v>
      </c>
      <c r="G169" s="2">
        <v>0</v>
      </c>
      <c r="H169" s="2">
        <v>92</v>
      </c>
      <c r="I169" s="2" t="inlineStr">
        <is>
          <t>1000</t>
        </is>
      </c>
      <c r="J169" s="4"/>
      <c r="K169" s="2">
        <v>31</v>
      </c>
      <c r="L169" s="6"/>
      <c r="M169" s="2" t="str">
        <f>IF(J169="",ROUND(I169*(1-IF(ISBLANK(L169),K169,L169)/100),2),ROUND(J169*(1-IF(ISBLANK(L169),K169,L169)/100),2))</f>
      </c>
      <c r="N169" s="7" t="str">
        <f>IF(NOT(AND(J169="",L169="")),IF(OR(AND(L169&lt;&gt;"",NOT(ISNUMBER(L169))),IFERROR(MOD(L169,1),1)&gt;0,AND(ISNUMBER(L169),OR(L169&lt;0,L169&gt;95))),"Введите целое число от 0 до 95",IF(OR(AND(J169&lt;&gt;"",NOT(ISNUMBER(J169))),IFERROR(MOD(J169,1),1)&gt;0,AND(ISNUMBER(J169),OR(J169&lt;50,J169&gt;20000000))),"Введите целое число от 50 до 20000000",IF(NOT(ABS(IFERROR(VALUE(LEFT(M169,FIND("-",M169)-1)),M169)*100-(2500+2000000000)/2)&lt;=ABS(2500-2000000000)/2),"Цена со скидкой должна быть от 25 до 20000000",IF(IFERROR(VALUE(LEFT(M169,FIND("-",M169)-1)),M169)*220&lt;69000,"Вы уменьшили цену в несколько раз, товар попадет в карантин цен",IF(AND(IFERROR(VALUE(I169),0)=0,ISNUMBER(J169),OR(J169&lt;198,ABS(IFERROR(VALUE(LEFT(M169,FIND("-",M169)-1)),M169))*100&lt;19800)),"Проверьте цену товара. Большинство товаров в выбранной категории стоят дороже 198",""))))),"")</f>
      </c>
    </row>
    <row r="170">
      <c r="A170" s="2" t="inlineStr">
        <is>
          <t/>
        </is>
      </c>
      <c r="B170" s="2" t="inlineStr">
        <is>
          <t>Браслеты</t>
        </is>
      </c>
      <c r="C170" s="2">
        <v>734566658</v>
      </c>
      <c r="D170" s="2" t="inlineStr">
        <is>
          <t>116</t>
        </is>
      </c>
      <c r="E170" s="2" t="inlineStr">
        <is>
          <t>2048129293277</t>
        </is>
      </c>
      <c r="F170" s="2">
        <v>6</v>
      </c>
      <c r="G170" s="2">
        <v>0</v>
      </c>
      <c r="H170" s="2">
        <v>999</v>
      </c>
      <c r="I170" s="2" t="inlineStr">
        <is>
          <t>3530</t>
        </is>
      </c>
      <c r="J170" s="4"/>
      <c r="K170" s="2">
        <v>32</v>
      </c>
      <c r="L170" s="6"/>
      <c r="M170" s="2" t="str">
        <f>IF(J170="",ROUND(I170*(1-IF(ISBLANK(L170),K170,L170)/100),2),ROUND(J170*(1-IF(ISBLANK(L170),K170,L170)/100),2))</f>
      </c>
      <c r="N170" s="7" t="str">
        <f>IF(NOT(AND(J170="",L170="")),IF(OR(AND(L170&lt;&gt;"",NOT(ISNUMBER(L170))),IFERROR(MOD(L170,1),1)&gt;0,AND(ISNUMBER(L170),OR(L170&lt;0,L170&gt;95))),"Введите целое число от 0 до 95",IF(OR(AND(J170&lt;&gt;"",NOT(ISNUMBER(J170))),IFERROR(MOD(J170,1),1)&gt;0,AND(ISNUMBER(J170),OR(J170&lt;50,J170&gt;20000000))),"Введите целое число от 50 до 20000000",IF(NOT(ABS(IFERROR(VALUE(LEFT(M170,FIND("-",M170)-1)),M170)*100-(2500+2000000000)/2)&lt;=ABS(2500-2000000000)/2),"Цена со скидкой должна быть от 25 до 20000000",IF(IFERROR(VALUE(LEFT(M170,FIND("-",M170)-1)),M170)*220&lt;240039,"Вы уменьшили цену в несколько раз, товар попадет в карантин цен",IF(AND(IFERROR(VALUE(I170),0)=0,ISNUMBER(J170),OR(J170&lt;206,ABS(IFERROR(VALUE(LEFT(M170,FIND("-",M170)-1)),M170))*100&lt;20600)),"Проверьте цену товара. Большинство товаров в выбранной категории стоят дороже 206",""))))),"")</f>
      </c>
    </row>
    <row r="171">
      <c r="A171" s="2" t="inlineStr">
        <is>
          <t/>
        </is>
      </c>
      <c r="B171" s="2" t="inlineStr">
        <is>
          <t>Браслеты</t>
        </is>
      </c>
      <c r="C171" s="2">
        <v>734566652</v>
      </c>
      <c r="D171" s="2" t="inlineStr">
        <is>
          <t>110</t>
        </is>
      </c>
      <c r="E171" s="2" t="inlineStr">
        <is>
          <t>2048129293208</t>
        </is>
      </c>
      <c r="F171" s="2" t="inlineStr">
        <is>
          <t/>
        </is>
      </c>
      <c r="G171" s="2" t="inlineStr">
        <is>
          <t/>
        </is>
      </c>
      <c r="H171" s="2" t="inlineStr">
        <is>
          <t/>
        </is>
      </c>
      <c r="I171" s="2" t="inlineStr">
        <is>
          <t>3530</t>
        </is>
      </c>
      <c r="J171" s="4"/>
      <c r="K171" s="2">
        <v>25</v>
      </c>
      <c r="L171" s="6"/>
      <c r="M171" s="2" t="str">
        <f>IF(J171="",ROUND(I171*(1-IF(ISBLANK(L171),K171,L171)/100),2),ROUND(J171*(1-IF(ISBLANK(L171),K171,L171)/100),2))</f>
      </c>
      <c r="N171" s="7" t="str">
        <f>IF(NOT(AND(J171="",L171="")),IF(OR(AND(L171&lt;&gt;"",NOT(ISNUMBER(L171))),IFERROR(MOD(L171,1),1)&gt;0,AND(ISNUMBER(L171),OR(L171&lt;0,L171&gt;95))),"Введите целое число от 0 до 95",IF(OR(AND(J171&lt;&gt;"",NOT(ISNUMBER(J171))),IFERROR(MOD(J171,1),1)&gt;0,AND(ISNUMBER(J171),OR(J171&lt;50,J171&gt;20000000))),"Введите целое число от 50 до 20000000",IF(NOT(ABS(IFERROR(VALUE(LEFT(M171,FIND("-",M171)-1)),M171)*100-(2500+2000000000)/2)&lt;=ABS(2500-2000000000)/2),"Цена со скидкой должна быть от 25 до 20000000",IF(IFERROR(VALUE(LEFT(M171,FIND("-",M171)-1)),M171)*220&lt;264750,"Вы уменьшили цену в несколько раз, товар попадет в карантин цен",IF(AND(IFERROR(VALUE(I171),0)=0,ISNUMBER(J171),OR(J171&lt;206,ABS(IFERROR(VALUE(LEFT(M171,FIND("-",M171)-1)),M171))*100&lt;20600)),"Проверьте цену товара. Большинство товаров в выбранной категории стоят дороже 206",""))))),"")</f>
      </c>
    </row>
    <row r="172">
      <c r="A172" s="2" t="inlineStr">
        <is>
          <t>Крымский Хан</t>
        </is>
      </c>
      <c r="B172" s="2" t="inlineStr">
        <is>
          <t>Брелоки</t>
        </is>
      </c>
      <c r="C172" s="2">
        <v>197491605</v>
      </c>
      <c r="D172" s="2" t="inlineStr">
        <is>
          <t>Спасибо. Love</t>
        </is>
      </c>
      <c r="E172" s="2" t="inlineStr">
        <is>
          <t>2039214765984</t>
        </is>
      </c>
      <c r="F172" s="2">
        <v>6</v>
      </c>
      <c r="G172" s="2">
        <v>0</v>
      </c>
      <c r="H172" s="2">
        <v>102</v>
      </c>
      <c r="I172" s="2" t="inlineStr">
        <is>
          <t>1000</t>
        </is>
      </c>
      <c r="J172" s="4"/>
      <c r="K172" s="2">
        <v>31</v>
      </c>
      <c r="L172" s="6"/>
      <c r="M172" s="2" t="str">
        <f>IF(J172="",ROUND(I172*(1-IF(ISBLANK(L172),K172,L172)/100),2),ROUND(J172*(1-IF(ISBLANK(L172),K172,L172)/100),2))</f>
      </c>
      <c r="N172" s="7" t="str">
        <f>IF(NOT(AND(J172="",L172="")),IF(OR(AND(L172&lt;&gt;"",NOT(ISNUMBER(L172))),IFERROR(MOD(L172,1),1)&gt;0,AND(ISNUMBER(L172),OR(L172&lt;0,L172&gt;95))),"Введите целое число от 0 до 95",IF(OR(AND(J172&lt;&gt;"",NOT(ISNUMBER(J172))),IFERROR(MOD(J172,1),1)&gt;0,AND(ISNUMBER(J172),OR(J172&lt;50,J172&gt;20000000))),"Введите целое число от 50 до 20000000",IF(NOT(ABS(IFERROR(VALUE(LEFT(M172,FIND("-",M172)-1)),M172)*100-(2500+2000000000)/2)&lt;=ABS(2500-2000000000)/2),"Цена со скидкой должна быть от 25 до 20000000",IF(IFERROR(VALUE(LEFT(M172,FIND("-",M172)-1)),M172)*220&lt;69000,"Вы уменьшили цену в несколько раз, товар попадет в карантин цен",IF(AND(IFERROR(VALUE(I172),0)=0,ISNUMBER(J172),OR(J172&lt;198,ABS(IFERROR(VALUE(LEFT(M172,FIND("-",M172)-1)),M172))*100&lt;19800)),"Проверьте цену товара. Большинство товаров в выбранной категории стоят дороже 198",""))))),"")</f>
      </c>
    </row>
    <row r="173">
      <c r="A173" s="2" t="inlineStr">
        <is>
          <t>DYULBER</t>
        </is>
      </c>
      <c r="B173" s="2" t="inlineStr">
        <is>
          <t>Ювелирные кольца</t>
        </is>
      </c>
      <c r="C173" s="2">
        <v>44471329</v>
      </c>
      <c r="D173" s="2" t="inlineStr">
        <is>
          <t>79300959363177930095936317</t>
        </is>
      </c>
      <c r="E173" s="2" t="inlineStr">
        <is>
          <t>7930095936317</t>
        </is>
      </c>
      <c r="F173" s="2" t="inlineStr">
        <is>
          <t/>
        </is>
      </c>
      <c r="G173" s="2" t="inlineStr">
        <is>
          <t/>
        </is>
      </c>
      <c r="H173" s="2">
        <v>0</v>
      </c>
      <c r="I173" s="2" t="inlineStr">
        <is>
          <t>4102</t>
        </is>
      </c>
      <c r="J173" s="4"/>
      <c r="K173" s="2">
        <v>15</v>
      </c>
      <c r="L173" s="6"/>
      <c r="M173" s="2" t="str">
        <f>IF(J173="",ROUND(I173*(1-IF(ISBLANK(L173),K173,L173)/100),2),ROUND(J173*(1-IF(ISBLANK(L173),K173,L173)/100),2))</f>
      </c>
      <c r="N173" s="7" t="str">
        <f>IF(NOT(AND(J173="",L173="")),IF(OR(AND(L173&lt;&gt;"",NOT(ISNUMBER(L173))),IFERROR(MOD(L173,1),1)&gt;0,AND(ISNUMBER(L173),OR(L173&lt;0,L173&gt;95))),"Введите целое число от 0 до 95",IF(OR(AND(J173&lt;&gt;"",NOT(ISNUMBER(J173))),IFERROR(MOD(J173,1),1)&gt;0,AND(ISNUMBER(J173),OR(J173&lt;50,J173&gt;20000000))),"Введите целое число от 50 до 20000000",IF(NOT(ABS(IFERROR(VALUE(LEFT(M173,FIND("-",M173)-1)),M173)*100-(2500+2000000000)/2)&lt;=ABS(2500-2000000000)/2),"Цена со скидкой должна быть от 25 до 20000000",IF(IFERROR(VALUE(LEFT(M173,FIND("-",M173)-1)),M173)*200&lt;348670,"Вы уменьшили цену в несколько раз, товар попадет в карантин цен",IF(AND(IFERROR(VALUE(I173),0)=0,ISNUMBER(J173),OR(J173&lt;294,ABS(IFERROR(VALUE(LEFT(M173,FIND("-",M173)-1)),M173))*100&lt;29400)),"Проверьте цену товара. Большинство товаров в выбранной категории стоят дороже 294",""))))),"")</f>
      </c>
    </row>
    <row r="174">
      <c r="A174" s="2" t="inlineStr">
        <is>
          <t>Крымский Хан</t>
        </is>
      </c>
      <c r="B174" s="2" t="inlineStr">
        <is>
          <t>Ножи столовые</t>
        </is>
      </c>
      <c r="C174" s="2">
        <v>143117952</v>
      </c>
      <c r="D174" s="2" t="inlineStr">
        <is>
          <t>нож столовый</t>
        </is>
      </c>
      <c r="E174" s="2" t="inlineStr">
        <is>
          <t>2037373155738</t>
        </is>
      </c>
      <c r="F174" s="2">
        <v>240</v>
      </c>
      <c r="G174" s="2">
        <v>0</v>
      </c>
      <c r="H174" s="2">
        <v>999</v>
      </c>
      <c r="I174" s="2" t="inlineStr">
        <is>
          <t>1765</t>
        </is>
      </c>
      <c r="J174" s="4"/>
      <c r="K174" s="2">
        <v>10</v>
      </c>
      <c r="L174" s="6"/>
      <c r="M174" s="2" t="str">
        <f>IF(J174="",ROUND(I174*(1-IF(ISBLANK(L174),K174,L174)/100),2),ROUND(J174*(1-IF(ISBLANK(L174),K174,L174)/100),2))</f>
      </c>
      <c r="N174" s="7" t="str">
        <f>IF(NOT(AND(J174="",L174="")),IF(OR(AND(L174&lt;&gt;"",NOT(ISNUMBER(L174))),IFERROR(MOD(L174,1),1)&gt;0,AND(ISNUMBER(L174),OR(L174&lt;0,L174&gt;95))),"Введите целое число от 0 до 95",IF(OR(AND(J174&lt;&gt;"",NOT(ISNUMBER(J174))),IFERROR(MOD(J174,1),1)&gt;0,AND(ISNUMBER(J174),OR(J174&lt;50,J174&gt;20000000))),"Введите целое число от 50 до 20000000",IF(NOT(ABS(IFERROR(VALUE(LEFT(M174,FIND("-",M174)-1)),M174)*100-(2500+2000000000)/2)&lt;=ABS(2500-2000000000)/2),"Цена со скидкой должна быть от 25 до 20000000",IF(IFERROR(VALUE(LEFT(M174,FIND("-",M174)-1)),M174)*220&lt;158850,"Вы уменьшили цену в несколько раз, товар попадет в карантин цен",IF(AND(IFERROR(VALUE(I174),0)=0,ISNUMBER(J174),OR(J174&lt;344,ABS(IFERROR(VALUE(LEFT(M174,FIND("-",M174)-1)),M174))*100&lt;34400)),"Проверьте цену товара. Большинство товаров в выбранной категории стоят дороже 344",""))))),"")</f>
      </c>
    </row>
    <row r="175">
      <c r="A175" s="2" t="inlineStr">
        <is>
          <t>Крымский Хан</t>
        </is>
      </c>
      <c r="B175" s="2" t="inlineStr">
        <is>
          <t>Шумовки</t>
        </is>
      </c>
      <c r="C175" s="2">
        <v>67932867</v>
      </c>
      <c r="D175" s="2" t="inlineStr">
        <is>
          <t>v2102v2102</t>
        </is>
      </c>
      <c r="E175" s="2" t="inlineStr">
        <is>
          <t>2022785418045</t>
        </is>
      </c>
      <c r="F175" s="2">
        <v>32</v>
      </c>
      <c r="G175" s="2">
        <v>0</v>
      </c>
      <c r="H175" s="2">
        <v>504</v>
      </c>
      <c r="I175" s="2" t="inlineStr">
        <is>
          <t>1765</t>
        </is>
      </c>
      <c r="J175" s="4"/>
      <c r="K175" s="2">
        <v>17</v>
      </c>
      <c r="L175" s="6"/>
      <c r="M175" s="2" t="str">
        <f>IF(J175="",ROUND(I175*(1-IF(ISBLANK(L175),K175,L175)/100),2),ROUND(J175*(1-IF(ISBLANK(L175),K175,L175)/100),2))</f>
      </c>
      <c r="N175" s="7" t="str">
        <f>IF(NOT(AND(J175="",L175="")),IF(OR(AND(L175&lt;&gt;"",NOT(ISNUMBER(L175))),IFERROR(MOD(L175,1),1)&gt;0,AND(ISNUMBER(L175),OR(L175&lt;0,L175&gt;95))),"Введите целое число от 0 до 95",IF(OR(AND(J175&lt;&gt;"",NOT(ISNUMBER(J175))),IFERROR(MOD(J175,1),1)&gt;0,AND(ISNUMBER(J175),OR(J175&lt;50,J175&gt;20000000))),"Введите целое число от 50 до 20000000",IF(NOT(ABS(IFERROR(VALUE(LEFT(M175,FIND("-",M175)-1)),M175)*100-(2500+2000000000)/2)&lt;=ABS(2500-2000000000)/2),"Цена со скидкой должна быть от 25 до 20000000",IF(IFERROR(VALUE(LEFT(M175,FIND("-",M175)-1)),M175)*220&lt;146494,"Вы уменьшили цену в несколько раз, товар попадет в карантин цен",IF(AND(IFERROR(VALUE(I175),0)=0,ISNUMBER(J175),OR(J175&lt;294,ABS(IFERROR(VALUE(LEFT(M175,FIND("-",M175)-1)),M175))*100&lt;29400)),"Проверьте цену товара. Большинство товаров в выбранной категории стоят дороже 294",""))))),"")</f>
      </c>
    </row>
    <row r="176">
      <c r="A176" s="2" t="inlineStr">
        <is>
          <t>Крымский Хан</t>
        </is>
      </c>
      <c r="B176" s="2" t="inlineStr">
        <is>
          <t>Подарочные коробки</t>
        </is>
      </c>
      <c r="C176" s="2">
        <v>38058335</v>
      </c>
      <c r="D176" s="2" t="inlineStr">
        <is>
          <t>KH3018KH3018</t>
        </is>
      </c>
      <c r="E176" s="2" t="inlineStr">
        <is>
          <t>2006931050006</t>
        </is>
      </c>
      <c r="F176" s="2" t="inlineStr">
        <is>
          <t/>
        </is>
      </c>
      <c r="G176" s="2" t="inlineStr">
        <is>
          <t/>
        </is>
      </c>
      <c r="H176" s="2">
        <v>0</v>
      </c>
      <c r="I176" s="2" t="inlineStr">
        <is>
          <t>2165</t>
        </is>
      </c>
      <c r="J176" s="4"/>
      <c r="K176" s="2">
        <v>15</v>
      </c>
      <c r="L176" s="6"/>
      <c r="M176" s="2" t="str">
        <f>IF(J176="",ROUND(I176*(1-IF(ISBLANK(L176),K176,L176)/100),2),ROUND(J176*(1-IF(ISBLANK(L176),K176,L176)/100),2))</f>
      </c>
      <c r="N176" s="7" t="str">
        <f>IF(NOT(AND(J176="",L176="")),IF(OR(AND(L176&lt;&gt;"",NOT(ISNUMBER(L176))),IFERROR(MOD(L176,1),1)&gt;0,AND(ISNUMBER(L176),OR(L176&lt;0,L176&gt;95))),"Введите целое число от 0 до 95",IF(OR(AND(J176&lt;&gt;"",NOT(ISNUMBER(J176))),IFERROR(MOD(J176,1),1)&gt;0,AND(ISNUMBER(J176),OR(J176&lt;50,J176&gt;20000000))),"Введите целое число от 50 до 20000000",IF(NOT(ABS(IFERROR(VALUE(LEFT(M176,FIND("-",M176)-1)),M176)*100-(2500+2000000000)/2)&lt;=ABS(2500-2000000000)/2),"Цена со скидкой должна быть от 25 до 20000000",IF(IFERROR(VALUE(LEFT(M176,FIND("-",M176)-1)),M176)*180&lt;184025,"Вы уменьшили цену в несколько раз, товар попадет в карантин цен",IF(AND(IFERROR(VALUE(I176),0)=0,ISNUMBER(J176),OR(J176&lt;276,ABS(IFERROR(VALUE(LEFT(M176,FIND("-",M176)-1)),M176))*100&lt;27600)),"Проверьте цену товара. Большинство товаров в выбранной категории стоят дороже 276",""))))),"")</f>
      </c>
    </row>
    <row r="177">
      <c r="A177" s="2" t="inlineStr">
        <is>
          <t>Крымский Хан</t>
        </is>
      </c>
      <c r="B177" s="2" t="inlineStr">
        <is>
          <t>Подстаканники</t>
        </is>
      </c>
      <c r="C177" s="2">
        <v>178880739</v>
      </c>
      <c r="D177" s="2" t="inlineStr">
        <is>
          <t>рыбак</t>
        </is>
      </c>
      <c r="E177" s="2" t="inlineStr">
        <is>
          <t>2038685054641</t>
        </is>
      </c>
      <c r="F177" s="2">
        <v>15</v>
      </c>
      <c r="G177" s="2">
        <v>0</v>
      </c>
      <c r="H177" s="2">
        <v>418</v>
      </c>
      <c r="I177" s="2" t="inlineStr">
        <is>
          <t>4553</t>
        </is>
      </c>
      <c r="J177" s="4"/>
      <c r="K177" s="2">
        <v>20</v>
      </c>
      <c r="L177" s="6"/>
      <c r="M177" s="2" t="str">
        <f>IF(J177="",ROUND(I177*(1-IF(ISBLANK(L177),K177,L177)/100),2),ROUND(J177*(1-IF(ISBLANK(L177),K177,L177)/100),2))</f>
      </c>
      <c r="N177" s="7" t="str">
        <f>IF(NOT(AND(J177="",L177="")),IF(OR(AND(L177&lt;&gt;"",NOT(ISNUMBER(L177))),IFERROR(MOD(L177,1),1)&gt;0,AND(ISNUMBER(L177),OR(L177&lt;0,L177&gt;95))),"Введите целое число от 0 до 95",IF(OR(AND(J177&lt;&gt;"",NOT(ISNUMBER(J177))),IFERROR(MOD(J177,1),1)&gt;0,AND(ISNUMBER(J177),OR(J177&lt;50,J177&gt;20000000))),"Введите целое число от 50 до 20000000",IF(NOT(ABS(IFERROR(VALUE(LEFT(M177,FIND("-",M177)-1)),M177)*100-(2500+2000000000)/2)&lt;=ABS(2500-2000000000)/2),"Цена со скидкой должна быть от 25 до 20000000",IF(IFERROR(VALUE(LEFT(M177,FIND("-",M177)-1)),M177)*220&lt;364240,"Вы уменьшили цену в несколько раз, товар попадет в карантин цен",IF(AND(IFERROR(VALUE(I177),0)=0,ISNUMBER(J177),OR(J177&lt;209,ABS(IFERROR(VALUE(LEFT(M177,FIND("-",M177)-1)),M177))*100&lt;20900)),"Проверьте цену товара. Большинство товаров в выбранной категории стоят дороже 209",""))))),"")</f>
      </c>
    </row>
    <row r="178">
      <c r="A178" s="2" t="inlineStr">
        <is>
          <t>Крымский Хан</t>
        </is>
      </c>
      <c r="B178" s="2" t="inlineStr">
        <is>
          <t>Подарочные коробки</t>
        </is>
      </c>
      <c r="C178" s="2">
        <v>38058544</v>
      </c>
      <c r="D178" s="2" t="inlineStr">
        <is>
          <t>KH3019KH3019</t>
        </is>
      </c>
      <c r="E178" s="2" t="inlineStr">
        <is>
          <t>2006931148000</t>
        </is>
      </c>
      <c r="F178" s="2" t="inlineStr">
        <is>
          <t/>
        </is>
      </c>
      <c r="G178" s="2" t="inlineStr">
        <is>
          <t/>
        </is>
      </c>
      <c r="H178" s="2">
        <v>0</v>
      </c>
      <c r="I178" s="2" t="inlineStr">
        <is>
          <t>1506</t>
        </is>
      </c>
      <c r="J178" s="4"/>
      <c r="K178" s="2">
        <v>15</v>
      </c>
      <c r="L178" s="6"/>
      <c r="M178" s="2" t="str">
        <f>IF(J178="",ROUND(I178*(1-IF(ISBLANK(L178),K178,L178)/100),2),ROUND(J178*(1-IF(ISBLANK(L178),K178,L178)/100),2))</f>
      </c>
      <c r="N178" s="7" t="str">
        <f>IF(NOT(AND(J178="",L178="")),IF(OR(AND(L178&lt;&gt;"",NOT(ISNUMBER(L178))),IFERROR(MOD(L178,1),1)&gt;0,AND(ISNUMBER(L178),OR(L178&lt;0,L178&gt;95))),"Введите целое число от 0 до 95",IF(OR(AND(J178&lt;&gt;"",NOT(ISNUMBER(J178))),IFERROR(MOD(J178,1),1)&gt;0,AND(ISNUMBER(J178),OR(J178&lt;50,J178&gt;20000000))),"Введите целое число от 50 до 20000000",IF(NOT(ABS(IFERROR(VALUE(LEFT(M178,FIND("-",M178)-1)),M178)*100-(2500+2000000000)/2)&lt;=ABS(2500-2000000000)/2),"Цена со скидкой должна быть от 25 до 20000000",IF(IFERROR(VALUE(LEFT(M178,FIND("-",M178)-1)),M178)*180&lt;128009,"Вы уменьшили цену в несколько раз, товар попадет в карантин цен",IF(AND(IFERROR(VALUE(I178),0)=0,ISNUMBER(J178),OR(J178&lt;276,ABS(IFERROR(VALUE(LEFT(M178,FIND("-",M178)-1)),M178))*100&lt;27600)),"Проверьте цену товара. Большинство товаров в выбранной категории стоят дороже 276",""))))),"")</f>
      </c>
    </row>
    <row r="179">
      <c r="A179" s="2" t="inlineStr">
        <is>
          <t>Крымский Хан</t>
        </is>
      </c>
      <c r="B179" s="2" t="inlineStr">
        <is>
          <t>Карандаши</t>
        </is>
      </c>
      <c r="C179" s="2">
        <v>298022096</v>
      </c>
      <c r="D179" s="2" t="inlineStr">
        <is>
          <t>Наконечник Танк</t>
        </is>
      </c>
      <c r="E179" s="2" t="inlineStr">
        <is>
          <t>2042153372403</t>
        </is>
      </c>
      <c r="F179" s="2">
        <v>2</v>
      </c>
      <c r="G179" s="2">
        <v>0</v>
      </c>
      <c r="H179" s="2">
        <v>999</v>
      </c>
      <c r="I179" s="2" t="inlineStr">
        <is>
          <t>1059</t>
        </is>
      </c>
      <c r="J179" s="4"/>
      <c r="K179" s="2">
        <v>33</v>
      </c>
      <c r="L179" s="6"/>
      <c r="M179" s="2" t="str">
        <f>IF(J179="",ROUND(I179*(1-IF(ISBLANK(L179),K179,L179)/100),2),ROUND(J179*(1-IF(ISBLANK(L179),K179,L179)/100),2))</f>
      </c>
      <c r="N179" s="7" t="str">
        <f>IF(NOT(AND(J179="",L179="")),IF(OR(AND(L179&lt;&gt;"",NOT(ISNUMBER(L179))),IFERROR(MOD(L179,1),1)&gt;0,AND(ISNUMBER(L179),OR(L179&lt;0,L179&gt;95))),"Введите целое число от 0 до 95",IF(OR(AND(J179&lt;&gt;"",NOT(ISNUMBER(J179))),IFERROR(MOD(J179,1),1)&gt;0,AND(ISNUMBER(J179),OR(J179&lt;50,J179&gt;20000000))),"Введите целое число от 50 до 20000000",IF(NOT(ABS(IFERROR(VALUE(LEFT(M179,FIND("-",M179)-1)),M179)*100-(2500+2000000000)/2)&lt;=ABS(2500-2000000000)/2),"Цена со скидкой должна быть от 25 до 20000000",IF(IFERROR(VALUE(LEFT(M179,FIND("-",M179)-1)),M179)*200&lt;70953,"Вы уменьшили цену в несколько раз, товар попадет в карантин цен",IF(AND(IFERROR(VALUE(I179),0)=0,ISNUMBER(J179),OR(J179&lt;145,ABS(IFERROR(VALUE(LEFT(M179,FIND("-",M179)-1)),M179))*100&lt;14500)),"Проверьте цену товара. Большинство товаров в выбранной категории стоят дороже 145",""))))),"")</f>
      </c>
    </row>
    <row r="180">
      <c r="A180" s="2" t="inlineStr">
        <is>
          <t>Крымский Хан</t>
        </is>
      </c>
      <c r="B180" s="2" t="inlineStr">
        <is>
          <t>Карандаши</t>
        </is>
      </c>
      <c r="C180" s="2">
        <v>298022095</v>
      </c>
      <c r="D180" s="2" t="inlineStr">
        <is>
          <t>Наконечник Герб</t>
        </is>
      </c>
      <c r="E180" s="2" t="inlineStr">
        <is>
          <t>2042153370072</t>
        </is>
      </c>
      <c r="F180" s="2">
        <v>0</v>
      </c>
      <c r="G180" s="2">
        <v>0</v>
      </c>
      <c r="H180" s="2">
        <v>18</v>
      </c>
      <c r="I180" s="2" t="inlineStr">
        <is>
          <t>1059</t>
        </is>
      </c>
      <c r="J180" s="4"/>
      <c r="K180" s="2">
        <v>32</v>
      </c>
      <c r="L180" s="6"/>
      <c r="M180" s="2" t="str">
        <f>IF(J180="",ROUND(I180*(1-IF(ISBLANK(L180),K180,L180)/100),2),ROUND(J180*(1-IF(ISBLANK(L180),K180,L180)/100),2))</f>
      </c>
      <c r="N180" s="7" t="str">
        <f>IF(NOT(AND(J180="",L180="")),IF(OR(AND(L180&lt;&gt;"",NOT(ISNUMBER(L180))),IFERROR(MOD(L180,1),1)&gt;0,AND(ISNUMBER(L180),OR(L180&lt;0,L180&gt;95))),"Введите целое число от 0 до 95",IF(OR(AND(J180&lt;&gt;"",NOT(ISNUMBER(J180))),IFERROR(MOD(J180,1),1)&gt;0,AND(ISNUMBER(J180),OR(J180&lt;50,J180&gt;20000000))),"Введите целое число от 50 до 20000000",IF(NOT(ABS(IFERROR(VALUE(LEFT(M180,FIND("-",M180)-1)),M180)*100-(2500+2000000000)/2)&lt;=ABS(2500-2000000000)/2),"Цена со скидкой должна быть от 25 до 20000000",IF(IFERROR(VALUE(LEFT(M180,FIND("-",M180)-1)),M180)*200&lt;72011,"Вы уменьшили цену в несколько раз, товар попадет в карантин цен",IF(AND(IFERROR(VALUE(I180),0)=0,ISNUMBER(J180),OR(J180&lt;145,ABS(IFERROR(VALUE(LEFT(M180,FIND("-",M180)-1)),M180))*100&lt;14500)),"Проверьте цену товара. Большинство товаров в выбранной категории стоят дороже 145",""))))),"")</f>
      </c>
    </row>
    <row r="181">
      <c r="A181" s="2" t="inlineStr">
        <is>
          <t>Крымский Хан</t>
        </is>
      </c>
      <c r="B181" s="2" t="inlineStr">
        <is>
          <t>Ложки кофейные</t>
        </is>
      </c>
      <c r="C181" s="2">
        <v>94279873</v>
      </c>
      <c r="D181" s="2" t="inlineStr">
        <is>
          <t>KHNEW3005</t>
        </is>
      </c>
      <c r="E181" s="2" t="inlineStr">
        <is>
          <t>2040439323620</t>
        </is>
      </c>
      <c r="F181" s="2">
        <v>178</v>
      </c>
      <c r="G181" s="2">
        <v>85</v>
      </c>
      <c r="H181" s="2">
        <v>127</v>
      </c>
      <c r="I181" s="2" t="inlineStr">
        <is>
          <t>1765</t>
        </is>
      </c>
      <c r="J181" s="4"/>
      <c r="K181" s="2">
        <v>15</v>
      </c>
      <c r="L181" s="6"/>
      <c r="M181" s="2" t="str">
        <f>IF(J181="",ROUND(I181*(1-IF(ISBLANK(L181),K181,L181)/100),2),ROUND(J181*(1-IF(ISBLANK(L181),K181,L181)/100),2))</f>
      </c>
      <c r="N181" s="7" t="str">
        <f>IF(NOT(AND(J181="",L181="")),IF(OR(AND(L181&lt;&gt;"",NOT(ISNUMBER(L181))),IFERROR(MOD(L181,1),1)&gt;0,AND(ISNUMBER(L181),OR(L181&lt;0,L181&gt;95))),"Введите целое число от 0 до 95",IF(OR(AND(J181&lt;&gt;"",NOT(ISNUMBER(J181))),IFERROR(MOD(J181,1),1)&gt;0,AND(ISNUMBER(J181),OR(J181&lt;50,J181&gt;20000000))),"Введите целое число от 50 до 20000000",IF(NOT(ABS(IFERROR(VALUE(LEFT(M181,FIND("-",M181)-1)),M181)*100-(2500+2000000000)/2)&lt;=ABS(2500-2000000000)/2),"Цена со скидкой должна быть от 25 до 20000000",IF(IFERROR(VALUE(LEFT(M181,FIND("-",M181)-1)),M181)*220&lt;150025,"Вы уменьшили цену в несколько раз, товар попадет в карантин цен",IF(AND(IFERROR(VALUE(I181),0)=0,ISNUMBER(J181),OR(J181&lt;246,ABS(IFERROR(VALUE(LEFT(M181,FIND("-",M181)-1)),M181))*100&lt;24600)),"Проверьте цену товара. Большинство товаров в выбранной категории стоят дороже 246",""))))),"")</f>
      </c>
    </row>
    <row r="182">
      <c r="A182" s="2" t="inlineStr">
        <is>
          <t>Крымский Хан</t>
        </is>
      </c>
      <c r="B182" s="2" t="inlineStr">
        <is>
          <t>Наперстки</t>
        </is>
      </c>
      <c r="C182" s="2">
        <v>37914797</v>
      </c>
      <c r="D182" s="2" t="inlineStr">
        <is>
          <t>KH3011KH3011</t>
        </is>
      </c>
      <c r="E182" s="2" t="inlineStr">
        <is>
          <t>2006872173093</t>
        </is>
      </c>
      <c r="F182" s="2" t="inlineStr">
        <is>
          <t/>
        </is>
      </c>
      <c r="G182" s="2" t="inlineStr">
        <is>
          <t/>
        </is>
      </c>
      <c r="H182" s="2" t="inlineStr">
        <is>
          <t/>
        </is>
      </c>
      <c r="I182" s="2" t="inlineStr">
        <is>
          <t>542</t>
        </is>
      </c>
      <c r="J182" s="4"/>
      <c r="K182" s="2">
        <v>15</v>
      </c>
      <c r="L182" s="6"/>
      <c r="M182" s="2" t="str">
        <f>IF(J182="",ROUND(I182*(1-IF(ISBLANK(L182),K182,L182)/100),2),ROUND(J182*(1-IF(ISBLANK(L182),K182,L182)/100),2))</f>
      </c>
      <c r="N182" s="7" t="str">
        <f>IF(NOT(AND(J182="",L182="")),IF(OR(AND(L182&lt;&gt;"",NOT(ISNUMBER(L182))),IFERROR(MOD(L182,1),1)&gt;0,AND(ISNUMBER(L182),OR(L182&lt;0,L182&gt;95))),"Введите целое число от 0 до 95",IF(OR(AND(J182&lt;&gt;"",NOT(ISNUMBER(J182))),IFERROR(MOD(J182,1),1)&gt;0,AND(ISNUMBER(J182),OR(J182&lt;50,J182&gt;20000000))),"Введите целое число от 50 до 20000000",IF(NOT(ABS(IFERROR(VALUE(LEFT(M182,FIND("-",M182)-1)),M182)*100-(2500+2000000000)/2)&lt;=ABS(2500-2000000000)/2),"Цена со скидкой должна быть от 25 до 20000000",IF(IFERROR(VALUE(LEFT(M182,FIND("-",M182)-1)),M182)*190&lt;46070,"Вы уменьшили цену в несколько раз, товар попадет в карантин цен",IF(AND(IFERROR(VALUE(I182),0)=0,ISNUMBER(J182),OR(J182&lt;177,ABS(IFERROR(VALUE(LEFT(M182,FIND("-",M182)-1)),M182))*100&lt;17700)),"Проверьте цену товара. Большинство товаров в выбранной категории стоят дороже 177",""))))),"")</f>
      </c>
    </row>
    <row r="183">
      <c r="A183" s="2" t="inlineStr">
        <is>
          <t>Крымский Хан</t>
        </is>
      </c>
      <c r="B183" s="2" t="inlineStr">
        <is>
          <t>Ложки кофейные</t>
        </is>
      </c>
      <c r="C183" s="2">
        <v>41771528</v>
      </c>
      <c r="D183" s="2" t="inlineStr">
        <is>
          <t>KH3311KH3311</t>
        </is>
      </c>
      <c r="E183" s="2" t="inlineStr">
        <is>
          <t>2008722574012</t>
        </is>
      </c>
      <c r="F183" s="2">
        <v>172</v>
      </c>
      <c r="G183" s="2">
        <v>0</v>
      </c>
      <c r="H183" s="2">
        <v>999</v>
      </c>
      <c r="I183" s="2" t="inlineStr">
        <is>
          <t>1765</t>
        </is>
      </c>
      <c r="J183" s="4"/>
      <c r="K183" s="2">
        <v>15</v>
      </c>
      <c r="L183" s="6"/>
      <c r="M183" s="2" t="str">
        <f>IF(J183="",ROUND(I183*(1-IF(ISBLANK(L183),K183,L183)/100),2),ROUND(J183*(1-IF(ISBLANK(L183),K183,L183)/100),2))</f>
      </c>
      <c r="N183" s="7" t="str">
        <f>IF(NOT(AND(J183="",L183="")),IF(OR(AND(L183&lt;&gt;"",NOT(ISNUMBER(L183))),IFERROR(MOD(L183,1),1)&gt;0,AND(ISNUMBER(L183),OR(L183&lt;0,L183&gt;95))),"Введите целое число от 0 до 95",IF(OR(AND(J183&lt;&gt;"",NOT(ISNUMBER(J183))),IFERROR(MOD(J183,1),1)&gt;0,AND(ISNUMBER(J183),OR(J183&lt;50,J183&gt;20000000))),"Введите целое число от 50 до 20000000",IF(NOT(ABS(IFERROR(VALUE(LEFT(M183,FIND("-",M183)-1)),M183)*100-(2500+2000000000)/2)&lt;=ABS(2500-2000000000)/2),"Цена со скидкой должна быть от 25 до 20000000",IF(IFERROR(VALUE(LEFT(M183,FIND("-",M183)-1)),M183)*220&lt;150025,"Вы уменьшили цену в несколько раз, товар попадет в карантин цен",IF(AND(IFERROR(VALUE(I183),0)=0,ISNUMBER(J183),OR(J183&lt;246,ABS(IFERROR(VALUE(LEFT(M183,FIND("-",M183)-1)),M183))*100&lt;24600)),"Проверьте цену товара. Большинство товаров в выбранной категории стоят дороже 246",""))))),"")</f>
      </c>
    </row>
    <row r="184">
      <c r="A184" s="2" t="inlineStr">
        <is>
          <t>Крымский Хан</t>
        </is>
      </c>
      <c r="B184" s="2" t="inlineStr">
        <is>
          <t>Наперстки</t>
        </is>
      </c>
      <c r="C184" s="2">
        <v>37914798</v>
      </c>
      <c r="D184" s="2" t="inlineStr">
        <is>
          <t>KH3010KH3010</t>
        </is>
      </c>
      <c r="E184" s="2" t="inlineStr">
        <is>
          <t>2006872173086</t>
        </is>
      </c>
      <c r="F184" s="2">
        <v>0</v>
      </c>
      <c r="G184" s="2">
        <v>0</v>
      </c>
      <c r="H184" s="2">
        <v>0</v>
      </c>
      <c r="I184" s="2" t="inlineStr">
        <is>
          <t>418</t>
        </is>
      </c>
      <c r="J184" s="4"/>
      <c r="K184" s="2">
        <v>15</v>
      </c>
      <c r="L184" s="6"/>
      <c r="M184" s="2" t="str">
        <f>IF(J184="",ROUND(I184*(1-IF(ISBLANK(L184),K184,L184)/100),2),ROUND(J184*(1-IF(ISBLANK(L184),K184,L184)/100),2))</f>
      </c>
      <c r="N184" s="7" t="str">
        <f>IF(NOT(AND(J184="",L184="")),IF(OR(AND(L184&lt;&gt;"",NOT(ISNUMBER(L184))),IFERROR(MOD(L184,1),1)&gt;0,AND(ISNUMBER(L184),OR(L184&lt;0,L184&gt;95))),"Введите целое число от 0 до 95",IF(OR(AND(J184&lt;&gt;"",NOT(ISNUMBER(J184))),IFERROR(MOD(J184,1),1)&gt;0,AND(ISNUMBER(J184),OR(J184&lt;50,J184&gt;20000000))),"Введите целое число от 50 до 20000000",IF(NOT(ABS(IFERROR(VALUE(LEFT(M184,FIND("-",M184)-1)),M184)*100-(2500+2000000000)/2)&lt;=ABS(2500-2000000000)/2),"Цена со скидкой должна быть от 25 до 20000000",IF(IFERROR(VALUE(LEFT(M184,FIND("-",M184)-1)),M184)*190&lt;35530,"Вы уменьшили цену в несколько раз, товар попадет в карантин цен",IF(AND(IFERROR(VALUE(I184),0)=0,ISNUMBER(J184),OR(J184&lt;177,ABS(IFERROR(VALUE(LEFT(M184,FIND("-",M184)-1)),M184))*100&lt;17700)),"Проверьте цену товара. Большинство товаров в выбранной категории стоят дороже 177",""))))),"")</f>
      </c>
    </row>
    <row r="185">
      <c r="A185" s="2" t="inlineStr">
        <is>
          <t>ZS</t>
        </is>
      </c>
      <c r="B185" s="2" t="inlineStr">
        <is>
          <t>Банты</t>
        </is>
      </c>
      <c r="C185" s="2">
        <v>53560024</v>
      </c>
      <c r="D185" s="2" t="inlineStr">
        <is>
          <t>b00005синий</t>
        </is>
      </c>
      <c r="E185" s="2" t="inlineStr">
        <is>
          <t>2015302574058</t>
        </is>
      </c>
      <c r="F185" s="2">
        <v>0</v>
      </c>
      <c r="G185" s="2">
        <v>0</v>
      </c>
      <c r="H185" s="2">
        <v>1</v>
      </c>
      <c r="I185" s="2" t="inlineStr">
        <is>
          <t>371</t>
        </is>
      </c>
      <c r="J185" s="4"/>
      <c r="K185" s="2">
        <v>15</v>
      </c>
      <c r="L185" s="6"/>
      <c r="M185" s="2" t="str">
        <f>IF(J185="",ROUND(I185*(1-IF(ISBLANK(L185),K185,L185)/100),2),ROUND(J185*(1-IF(ISBLANK(L185),K185,L185)/100),2))</f>
      </c>
      <c r="N185" s="7" t="str">
        <f>IF(NOT(AND(J185="",L185="")),IF(OR(AND(L185&lt;&gt;"",NOT(ISNUMBER(L185))),IFERROR(MOD(L185,1),1)&gt;0,AND(ISNUMBER(L185),OR(L185&lt;0,L185&gt;95))),"Введите целое число от 0 до 95",IF(OR(AND(J185&lt;&gt;"",NOT(ISNUMBER(J185))),IFERROR(MOD(J185,1),1)&gt;0,AND(ISNUMBER(J185),OR(J185&lt;50,J185&gt;20000000))),"Введите целое число от 50 до 20000000",IF(NOT(ABS(IFERROR(VALUE(LEFT(M185,FIND("-",M185)-1)),M185)*100-(2500+2000000000)/2)&lt;=ABS(2500-2000000000)/2),"Цена со скидкой должна быть от 25 до 20000000",IF(IFERROR(VALUE(LEFT(M185,FIND("-",M185)-1)),M185)*210&lt;31534,"Вы уменьшили цену в несколько раз, товар попадет в карантин цен",IF(AND(IFERROR(VALUE(I185),0)=0,ISNUMBER(J185),OR(J185&lt;165,ABS(IFERROR(VALUE(LEFT(M185,FIND("-",M185)-1)),M185))*100&lt;16500)),"Проверьте цену товара. Большинство товаров в выбранной категории стоят дороже 165",""))))),"")</f>
      </c>
    </row>
    <row r="186">
      <c r="A186" s="2" t="inlineStr">
        <is>
          <t>Крымский Хан</t>
        </is>
      </c>
      <c r="B186" s="2" t="inlineStr">
        <is>
          <t>Турки</t>
        </is>
      </c>
      <c r="C186" s="2">
        <v>45719437</v>
      </c>
      <c r="D186" s="2" t="inlineStr">
        <is>
          <t>KH4653KH4653</t>
        </is>
      </c>
      <c r="E186" s="2" t="inlineStr">
        <is>
          <t>2011499740016</t>
        </is>
      </c>
      <c r="F186" s="2">
        <v>0</v>
      </c>
      <c r="G186" s="2">
        <v>0</v>
      </c>
      <c r="H186" s="2">
        <v>0</v>
      </c>
      <c r="I186" s="2" t="inlineStr">
        <is>
          <t>7989</t>
        </is>
      </c>
      <c r="J186" s="4"/>
      <c r="K186" s="2">
        <v>15</v>
      </c>
      <c r="L186" s="6"/>
      <c r="M186" s="2" t="str">
        <f>IF(J186="",ROUND(I186*(1-IF(ISBLANK(L186),K186,L186)/100),2),ROUND(J186*(1-IF(ISBLANK(L186),K186,L186)/100),2))</f>
      </c>
      <c r="N186" s="7" t="str">
        <f>IF(NOT(AND(J186="",L186="")),IF(OR(AND(L186&lt;&gt;"",NOT(ISNUMBER(L186))),IFERROR(MOD(L186,1),1)&gt;0,AND(ISNUMBER(L186),OR(L186&lt;0,L186&gt;95))),"Введите целое число от 0 до 95",IF(OR(AND(J186&lt;&gt;"",NOT(ISNUMBER(J186))),IFERROR(MOD(J186,1),1)&gt;0,AND(ISNUMBER(J186),OR(J186&lt;50,J186&gt;20000000))),"Введите целое число от 50 до 20000000",IF(NOT(ABS(IFERROR(VALUE(LEFT(M186,FIND("-",M186)-1)),M186)*100-(2500+2000000000)/2)&lt;=ABS(2500-2000000000)/2),"Цена со скидкой должна быть от 25 до 20000000",IF(IFERROR(VALUE(LEFT(M186,FIND("-",M186)-1)),M186)*220&lt;679065,"Вы уменьшили цену в несколько раз, товар попадет в карантин цен",IF(AND(IFERROR(VALUE(I186),0)=0,ISNUMBER(J186),OR(J186&lt;640,ABS(IFERROR(VALUE(LEFT(M186,FIND("-",M186)-1)),M186))*100&lt;64000)),"Проверьте цену товара. Большинство товаров в выбранной категории стоят дороже 640",""))))),"")</f>
      </c>
    </row>
    <row r="187">
      <c r="A187" s="2" t="inlineStr">
        <is>
          <t>ZS</t>
        </is>
      </c>
      <c r="B187" s="2" t="inlineStr">
        <is>
          <t>Банты</t>
        </is>
      </c>
      <c r="C187" s="2">
        <v>53560025</v>
      </c>
      <c r="D187" s="2" t="inlineStr">
        <is>
          <t>b0002красный</t>
        </is>
      </c>
      <c r="E187" s="2" t="inlineStr">
        <is>
          <t>2015302574089</t>
        </is>
      </c>
      <c r="F187" s="2">
        <v>0</v>
      </c>
      <c r="G187" s="2">
        <v>0</v>
      </c>
      <c r="H187" s="2">
        <v>0</v>
      </c>
      <c r="I187" s="2" t="inlineStr">
        <is>
          <t>706</t>
        </is>
      </c>
      <c r="J187" s="4"/>
      <c r="K187" s="2">
        <v>15</v>
      </c>
      <c r="L187" s="6"/>
      <c r="M187" s="2" t="str">
        <f>IF(J187="",ROUND(I187*(1-IF(ISBLANK(L187),K187,L187)/100),2),ROUND(J187*(1-IF(ISBLANK(L187),K187,L187)/100),2))</f>
      </c>
      <c r="N187" s="7" t="str">
        <f>IF(NOT(AND(J187="",L187="")),IF(OR(AND(L187&lt;&gt;"",NOT(ISNUMBER(L187))),IFERROR(MOD(L187,1),1)&gt;0,AND(ISNUMBER(L187),OR(L187&lt;0,L187&gt;95))),"Введите целое число от 0 до 95",IF(OR(AND(J187&lt;&gt;"",NOT(ISNUMBER(J187))),IFERROR(MOD(J187,1),1)&gt;0,AND(ISNUMBER(J187),OR(J187&lt;50,J187&gt;20000000))),"Введите целое число от 50 до 20000000",IF(NOT(ABS(IFERROR(VALUE(LEFT(M187,FIND("-",M187)-1)),M187)*100-(2500+2000000000)/2)&lt;=ABS(2500-2000000000)/2),"Цена со скидкой должна быть от 25 до 20000000",IF(IFERROR(VALUE(LEFT(M187,FIND("-",M187)-1)),M187)*210&lt;60010,"Вы уменьшили цену в несколько раз, товар попадет в карантин цен",IF(AND(IFERROR(VALUE(I187),0)=0,ISNUMBER(J187),OR(J187&lt;165,ABS(IFERROR(VALUE(LEFT(M187,FIND("-",M187)-1)),M187))*100&lt;16500)),"Проверьте цену товара. Большинство товаров в выбранной категории стоят дороже 165",""))))),"")</f>
      </c>
    </row>
    <row r="188">
      <c r="A188" s="2" t="inlineStr">
        <is>
          <t>Крымский Хан</t>
        </is>
      </c>
      <c r="B188" s="2" t="inlineStr">
        <is>
          <t>Подставки под ложку</t>
        </is>
      </c>
      <c r="C188" s="2">
        <v>41772263</v>
      </c>
      <c r="D188" s="2" t="inlineStr">
        <is>
          <t>KH3312KH3312</t>
        </is>
      </c>
      <c r="E188" s="2" t="inlineStr">
        <is>
          <t>2008722574005</t>
        </is>
      </c>
      <c r="F188" s="2">
        <v>180</v>
      </c>
      <c r="G188" s="2">
        <v>0</v>
      </c>
      <c r="H188" s="2">
        <v>421</v>
      </c>
      <c r="I188" s="2" t="inlineStr">
        <is>
          <t>1765</t>
        </is>
      </c>
      <c r="J188" s="4"/>
      <c r="K188" s="2">
        <v>15</v>
      </c>
      <c r="L188" s="6"/>
      <c r="M188" s="2" t="str">
        <f>IF(J188="",ROUND(I188*(1-IF(ISBLANK(L188),K188,L188)/100),2),ROUND(J188*(1-IF(ISBLANK(L188),K188,L188)/100),2))</f>
      </c>
      <c r="N188" s="7" t="str">
        <f>IF(NOT(AND(J188="",L188="")),IF(OR(AND(L188&lt;&gt;"",NOT(ISNUMBER(L188))),IFERROR(MOD(L188,1),1)&gt;0,AND(ISNUMBER(L188),OR(L188&lt;0,L188&gt;95))),"Введите целое число от 0 до 95",IF(OR(AND(J188&lt;&gt;"",NOT(ISNUMBER(J188))),IFERROR(MOD(J188,1),1)&gt;0,AND(ISNUMBER(J188),OR(J188&lt;50,J188&gt;20000000))),"Введите целое число от 50 до 20000000",IF(NOT(ABS(IFERROR(VALUE(LEFT(M188,FIND("-",M188)-1)),M188)*100-(2500+2000000000)/2)&lt;=ABS(2500-2000000000)/2),"Цена со скидкой должна быть от 25 до 20000000",IF(IFERROR(VALUE(LEFT(M188,FIND("-",M188)-1)),M188)*220&lt;150025,"Вы уменьшили цену в несколько раз, товар попадет в карантин цен",IF(AND(IFERROR(VALUE(I188),0)=0,ISNUMBER(J188),OR(J188&lt;219,ABS(IFERROR(VALUE(LEFT(M188,FIND("-",M188)-1)),M188))*100&lt;21900)),"Проверьте цену товара. Большинство товаров в выбранной категории стоят дороже 219",""))))),"")</f>
      </c>
    </row>
    <row r="189">
      <c r="A189" s="2" t="inlineStr">
        <is>
          <t>Крымский Хан</t>
        </is>
      </c>
      <c r="B189" s="2" t="inlineStr">
        <is>
          <t>Ложки чайные</t>
        </is>
      </c>
      <c r="C189" s="2">
        <v>92137358</v>
      </c>
      <c r="D189" s="2" t="inlineStr">
        <is>
          <t>KHNEW3004</t>
        </is>
      </c>
      <c r="E189" s="2" t="inlineStr">
        <is>
          <t>2038917444622</t>
        </is>
      </c>
      <c r="F189" s="2">
        <v>13</v>
      </c>
      <c r="G189" s="2">
        <v>0</v>
      </c>
      <c r="H189" s="2">
        <v>999</v>
      </c>
      <c r="I189" s="2" t="inlineStr">
        <is>
          <t>1412</t>
        </is>
      </c>
      <c r="J189" s="4"/>
      <c r="K189" s="2">
        <v>25</v>
      </c>
      <c r="L189" s="6"/>
      <c r="M189" s="2" t="str">
        <f>IF(J189="",ROUND(I189*(1-IF(ISBLANK(L189),K189,L189)/100),2),ROUND(J189*(1-IF(ISBLANK(L189),K189,L189)/100),2))</f>
      </c>
      <c r="N189" s="7" t="str">
        <f>IF(NOT(AND(J189="",L189="")),IF(OR(AND(L189&lt;&gt;"",NOT(ISNUMBER(L189))),IFERROR(MOD(L189,1),1)&gt;0,AND(ISNUMBER(L189),OR(L189&lt;0,L189&gt;95))),"Введите целое число от 0 до 95",IF(OR(AND(J189&lt;&gt;"",NOT(ISNUMBER(J189))),IFERROR(MOD(J189,1),1)&gt;0,AND(ISNUMBER(J189),OR(J189&lt;50,J189&gt;20000000))),"Введите целое число от 50 до 20000000",IF(NOT(ABS(IFERROR(VALUE(LEFT(M189,FIND("-",M189)-1)),M189)*100-(2500+2000000000)/2)&lt;=ABS(2500-2000000000)/2),"Цена со скидкой должна быть от 25 до 20000000",IF(IFERROR(VALUE(LEFT(M189,FIND("-",M189)-1)),M189)*220&lt;105900,"Вы уменьшили цену в несколько раз, товар попадет в карантин цен",IF(AND(IFERROR(VALUE(I189),0)=0,ISNUMBER(J189),OR(J189&lt;206,ABS(IFERROR(VALUE(LEFT(M189,FIND("-",M189)-1)),M189))*100&lt;20600)),"Проверьте цену товара. Большинство товаров в выбранной категории стоят дороже 206",""))))),"")</f>
      </c>
    </row>
    <row r="190">
      <c r="A190" s="2" t="inlineStr">
        <is>
          <t>Крымский Хан</t>
        </is>
      </c>
      <c r="B190" s="2" t="inlineStr">
        <is>
          <t>Ложки чайные</t>
        </is>
      </c>
      <c r="C190" s="2">
        <v>37914458</v>
      </c>
      <c r="D190" s="2" t="inlineStr">
        <is>
          <t>KH3009KH3009</t>
        </is>
      </c>
      <c r="E190" s="2" t="inlineStr">
        <is>
          <t>2006872173109</t>
        </is>
      </c>
      <c r="F190" s="2">
        <v>0</v>
      </c>
      <c r="G190" s="2">
        <v>0</v>
      </c>
      <c r="H190" s="2">
        <v>3</v>
      </c>
      <c r="I190" s="2" t="inlineStr">
        <is>
          <t>971</t>
        </is>
      </c>
      <c r="J190" s="4"/>
      <c r="K190" s="2">
        <v>15</v>
      </c>
      <c r="L190" s="6"/>
      <c r="M190" s="2" t="str">
        <f>IF(J190="",ROUND(I190*(1-IF(ISBLANK(L190),K190,L190)/100),2),ROUND(J190*(1-IF(ISBLANK(L190),K190,L190)/100),2))</f>
      </c>
      <c r="N190" s="7" t="str">
        <f>IF(NOT(AND(J190="",L190="")),IF(OR(AND(L190&lt;&gt;"",NOT(ISNUMBER(L190))),IFERROR(MOD(L190,1),1)&gt;0,AND(ISNUMBER(L190),OR(L190&lt;0,L190&gt;95))),"Введите целое число от 0 до 95",IF(OR(AND(J190&lt;&gt;"",NOT(ISNUMBER(J190))),IFERROR(MOD(J190,1),1)&gt;0,AND(ISNUMBER(J190),OR(J190&lt;50,J190&gt;20000000))),"Введите целое число от 50 до 20000000",IF(NOT(ABS(IFERROR(VALUE(LEFT(M190,FIND("-",M190)-1)),M190)*100-(2500+2000000000)/2)&lt;=ABS(2500-2000000000)/2),"Цена со скидкой должна быть от 25 до 20000000",IF(IFERROR(VALUE(LEFT(M190,FIND("-",M190)-1)),M190)*220&lt;82535,"Вы уменьшили цену в несколько раз, товар попадет в карантин цен",IF(AND(IFERROR(VALUE(I190),0)=0,ISNUMBER(J190),OR(J190&lt;206,ABS(IFERROR(VALUE(LEFT(M190,FIND("-",M190)-1)),M190))*100&lt;20600)),"Проверьте цену товара. Большинство товаров в выбранной категории стоят дороже 206",""))))),"")</f>
      </c>
    </row>
    <row r="191">
      <c r="A191" s="2" t="inlineStr">
        <is>
          <t>Крымский Хан</t>
        </is>
      </c>
      <c r="B191" s="2" t="inlineStr">
        <is>
          <t>Ложки столовые</t>
        </is>
      </c>
      <c r="C191" s="2">
        <v>37913644</v>
      </c>
      <c r="D191" s="2" t="inlineStr">
        <is>
          <t>KH3004KH3004</t>
        </is>
      </c>
      <c r="E191" s="2" t="inlineStr">
        <is>
          <t>2006872173147</t>
        </is>
      </c>
      <c r="F191" s="2">
        <v>51</v>
      </c>
      <c r="G191" s="2">
        <v>0</v>
      </c>
      <c r="H191" s="2">
        <v>111</v>
      </c>
      <c r="I191" s="2" t="inlineStr">
        <is>
          <t>1765</t>
        </is>
      </c>
      <c r="J191" s="4"/>
      <c r="K191" s="2">
        <v>20</v>
      </c>
      <c r="L191" s="6"/>
      <c r="M191" s="2" t="str">
        <f>IF(J191="",ROUND(I191*(1-IF(ISBLANK(L191),K191,L191)/100),2),ROUND(J191*(1-IF(ISBLANK(L191),K191,L191)/100),2))</f>
      </c>
      <c r="N191" s="7" t="str">
        <f>IF(NOT(AND(J191="",L191="")),IF(OR(AND(L191&lt;&gt;"",NOT(ISNUMBER(L191))),IFERROR(MOD(L191,1),1)&gt;0,AND(ISNUMBER(L191),OR(L191&lt;0,L191&gt;95))),"Введите целое число от 0 до 95",IF(OR(AND(J191&lt;&gt;"",NOT(ISNUMBER(J191))),IFERROR(MOD(J191,1),1)&gt;0,AND(ISNUMBER(J191),OR(J191&lt;50,J191&gt;20000000))),"Введите целое число от 50 до 20000000",IF(NOT(ABS(IFERROR(VALUE(LEFT(M191,FIND("-",M191)-1)),M191)*100-(2500+2000000000)/2)&lt;=ABS(2500-2000000000)/2),"Цена со скидкой должна быть от 25 до 20000000",IF(IFERROR(VALUE(LEFT(M191,FIND("-",M191)-1)),M191)*220&lt;141200,"Вы уменьшили цену в несколько раз, товар попадет в карантин цен",IF(AND(IFERROR(VALUE(I191),0)=0,ISNUMBER(J191),OR(J191&lt;314,ABS(IFERROR(VALUE(LEFT(M191,FIND("-",M191)-1)),M191))*100&lt;31400)),"Проверьте цену товара. Большинство товаров в выбранной категории стоят дороже 314",""))))),"")</f>
      </c>
    </row>
    <row r="192">
      <c r="A192" s="2" t="inlineStr">
        <is>
          <t>Крымский Хан</t>
        </is>
      </c>
      <c r="B192" s="2" t="inlineStr">
        <is>
          <t>Ножи для фигурной резки</t>
        </is>
      </c>
      <c r="C192" s="2">
        <v>32539695</v>
      </c>
      <c r="D192" s="2" t="inlineStr">
        <is>
          <t>GD3134GD3134</t>
        </is>
      </c>
      <c r="E192" s="2" t="inlineStr">
        <is>
          <t>2003804356067</t>
        </is>
      </c>
      <c r="F192" s="2">
        <v>30</v>
      </c>
      <c r="G192" s="2">
        <v>2</v>
      </c>
      <c r="H192" s="2">
        <v>269</v>
      </c>
      <c r="I192" s="2" t="inlineStr">
        <is>
          <t>3177</t>
        </is>
      </c>
      <c r="J192" s="4"/>
      <c r="K192" s="2">
        <v>15</v>
      </c>
      <c r="L192" s="6"/>
      <c r="M192" s="2" t="str">
        <f>IF(J192="",ROUND(I192*(1-IF(ISBLANK(L192),K192,L192)/100),2),ROUND(J192*(1-IF(ISBLANK(L192),K192,L192)/100),2))</f>
      </c>
      <c r="N192" s="7" t="str">
        <f>IF(NOT(AND(J192="",L192="")),IF(OR(AND(L192&lt;&gt;"",NOT(ISNUMBER(L192))),IFERROR(MOD(L192,1),1)&gt;0,AND(ISNUMBER(L192),OR(L192&lt;0,L192&gt;95))),"Введите целое число от 0 до 95",IF(OR(AND(J192&lt;&gt;"",NOT(ISNUMBER(J192))),IFERROR(MOD(J192,1),1)&gt;0,AND(ISNUMBER(J192),OR(J192&lt;50,J192&gt;20000000))),"Введите целое число от 50 до 20000000",IF(NOT(ABS(IFERROR(VALUE(LEFT(M192,FIND("-",M192)-1)),M192)*100-(2500+2000000000)/2)&lt;=ABS(2500-2000000000)/2),"Цена со скидкой должна быть от 25 до 20000000",IF(IFERROR(VALUE(LEFT(M192,FIND("-",M192)-1)),M192)*220&lt;270045,"Вы уменьшили цену в несколько раз, товар попадет в карантин цен",IF(AND(IFERROR(VALUE(I192),0)=0,ISNUMBER(J192),OR(J192&lt;259,ABS(IFERROR(VALUE(LEFT(M192,FIND("-",M192)-1)),M192))*100&lt;25900)),"Проверьте цену товара. Большинство товаров в выбранной категории стоят дороже 259",""))))),"")</f>
      </c>
    </row>
    <row r="193">
      <c r="A193" s="2" t="inlineStr">
        <is>
          <t>Крымский Хан</t>
        </is>
      </c>
      <c r="B193" s="2" t="inlineStr">
        <is>
          <t>Ложки чайные</t>
        </is>
      </c>
      <c r="C193" s="2">
        <v>51468891</v>
      </c>
      <c r="D193" s="2" t="inlineStr">
        <is>
          <t>KH3397KH3397</t>
        </is>
      </c>
      <c r="E193" s="2" t="inlineStr">
        <is>
          <t>2013738175016</t>
        </is>
      </c>
      <c r="F193" s="2">
        <v>29</v>
      </c>
      <c r="G193" s="2">
        <v>0</v>
      </c>
      <c r="H193" s="2">
        <v>999</v>
      </c>
      <c r="I193" s="2" t="inlineStr">
        <is>
          <t>1883</t>
        </is>
      </c>
      <c r="J193" s="4"/>
      <c r="K193" s="2">
        <v>20</v>
      </c>
      <c r="L193" s="6"/>
      <c r="M193" s="2" t="str">
        <f>IF(J193="",ROUND(I193*(1-IF(ISBLANK(L193),K193,L193)/100),2),ROUND(J193*(1-IF(ISBLANK(L193),K193,L193)/100),2))</f>
      </c>
      <c r="N193" s="7" t="str">
        <f>IF(NOT(AND(J193="",L193="")),IF(OR(AND(L193&lt;&gt;"",NOT(ISNUMBER(L193))),IFERROR(MOD(L193,1),1)&gt;0,AND(ISNUMBER(L193),OR(L193&lt;0,L193&gt;95))),"Введите целое число от 0 до 95",IF(OR(AND(J193&lt;&gt;"",NOT(ISNUMBER(J193))),IFERROR(MOD(J193,1),1)&gt;0,AND(ISNUMBER(J193),OR(J193&lt;50,J193&gt;20000000))),"Введите целое число от 50 до 20000000",IF(NOT(ABS(IFERROR(VALUE(LEFT(M193,FIND("-",M193)-1)),M193)*100-(2500+2000000000)/2)&lt;=ABS(2500-2000000000)/2),"Цена со скидкой должна быть от 25 до 20000000",IF(IFERROR(VALUE(LEFT(M193,FIND("-",M193)-1)),M193)*220&lt;150640,"Вы уменьшили цену в несколько раз, товар попадет в карантин цен",IF(AND(IFERROR(VALUE(I193),0)=0,ISNUMBER(J193),OR(J193&lt;206,ABS(IFERROR(VALUE(LEFT(M193,FIND("-",M193)-1)),M193))*100&lt;20600)),"Проверьте цену товара. Большинство товаров в выбранной категории стоят дороже 206",""))))),"")</f>
      </c>
    </row>
    <row r="194">
      <c r="A194" s="2" t="inlineStr">
        <is>
          <t>Крымский Хан</t>
        </is>
      </c>
      <c r="B194" s="2" t="inlineStr">
        <is>
          <t>Ножи столовые</t>
        </is>
      </c>
      <c r="C194" s="2">
        <v>53571674</v>
      </c>
      <c r="D194" s="2" t="inlineStr">
        <is>
          <t>f3333f3333</t>
        </is>
      </c>
      <c r="E194" s="2" t="inlineStr">
        <is>
          <t>2015302574003</t>
        </is>
      </c>
      <c r="F194" s="2">
        <v>105</v>
      </c>
      <c r="G194" s="2">
        <v>0</v>
      </c>
      <c r="H194" s="2">
        <v>112</v>
      </c>
      <c r="I194" s="2" t="inlineStr">
        <is>
          <t>1765</t>
        </is>
      </c>
      <c r="J194" s="4"/>
      <c r="K194" s="2">
        <v>33</v>
      </c>
      <c r="L194" s="6"/>
      <c r="M194" s="2" t="str">
        <f>IF(J194="",ROUND(I194*(1-IF(ISBLANK(L194),K194,L194)/100),2),ROUND(J194*(1-IF(ISBLANK(L194),K194,L194)/100),2))</f>
      </c>
      <c r="N194" s="7" t="str">
        <f>IF(NOT(AND(J194="",L194="")),IF(OR(AND(L194&lt;&gt;"",NOT(ISNUMBER(L194))),IFERROR(MOD(L194,1),1)&gt;0,AND(ISNUMBER(L194),OR(L194&lt;0,L194&gt;95))),"Введите целое число от 0 до 95",IF(OR(AND(J194&lt;&gt;"",NOT(ISNUMBER(J194))),IFERROR(MOD(J194,1),1)&gt;0,AND(ISNUMBER(J194),OR(J194&lt;50,J194&gt;20000000))),"Введите целое число от 50 до 20000000",IF(NOT(ABS(IFERROR(VALUE(LEFT(M194,FIND("-",M194)-1)),M194)*100-(2500+2000000000)/2)&lt;=ABS(2500-2000000000)/2),"Цена со скидкой должна быть от 25 до 20000000",IF(IFERROR(VALUE(LEFT(M194,FIND("-",M194)-1)),M194)*220&lt;118255,"Вы уменьшили цену в несколько раз, товар попадет в карантин цен",IF(AND(IFERROR(VALUE(I194),0)=0,ISNUMBER(J194),OR(J194&lt;344,ABS(IFERROR(VALUE(LEFT(M194,FIND("-",M194)-1)),M194))*100&lt;34400)),"Проверьте цену товара. Большинство товаров в выбранной категории стоят дороже 344",""))))),"")</f>
      </c>
    </row>
    <row r="195">
      <c r="A195" s="2" t="inlineStr">
        <is>
          <t>Крымский Хан</t>
        </is>
      </c>
      <c r="B195" s="2" t="inlineStr">
        <is>
          <t>Мерные ложки</t>
        </is>
      </c>
      <c r="C195" s="2">
        <v>51464185</v>
      </c>
      <c r="D195" s="2" t="inlineStr">
        <is>
          <t>KH3497KH3497</t>
        </is>
      </c>
      <c r="E195" s="2" t="inlineStr">
        <is>
          <t>2013738175009</t>
        </is>
      </c>
      <c r="F195" s="2">
        <v>94</v>
      </c>
      <c r="G195" s="2">
        <v>0</v>
      </c>
      <c r="H195" s="2">
        <v>585</v>
      </c>
      <c r="I195" s="2" t="inlineStr">
        <is>
          <t>1412</t>
        </is>
      </c>
      <c r="J195" s="4"/>
      <c r="K195" s="2">
        <v>10</v>
      </c>
      <c r="L195" s="6"/>
      <c r="M195" s="2" t="str">
        <f>IF(J195="",ROUND(I195*(1-IF(ISBLANK(L195),K195,L195)/100),2),ROUND(J195*(1-IF(ISBLANK(L195),K195,L195)/100),2))</f>
      </c>
      <c r="N195" s="7" t="str">
        <f>IF(NOT(AND(J195="",L195="")),IF(OR(AND(L195&lt;&gt;"",NOT(ISNUMBER(L195))),IFERROR(MOD(L195,1),1)&gt;0,AND(ISNUMBER(L195),OR(L195&lt;0,L195&gt;95))),"Введите целое число от 0 до 95",IF(OR(AND(J195&lt;&gt;"",NOT(ISNUMBER(J195))),IFERROR(MOD(J195,1),1)&gt;0,AND(ISNUMBER(J195),OR(J195&lt;50,J195&gt;20000000))),"Введите целое число от 50 до 20000000",IF(NOT(ABS(IFERROR(VALUE(LEFT(M195,FIND("-",M195)-1)),M195)*100-(2500+2000000000)/2)&lt;=ABS(2500-2000000000)/2),"Цена со скидкой должна быть от 25 до 20000000",IF(IFERROR(VALUE(LEFT(M195,FIND("-",M195)-1)),M195)*220&lt;127080,"Вы уменьшили цену в несколько раз, товар попадет в карантин цен",IF(AND(IFERROR(VALUE(I195),0)=0,ISNUMBER(J195),OR(J195&lt;217,ABS(IFERROR(VALUE(LEFT(M195,FIND("-",M195)-1)),M195))*100&lt;21700)),"Проверьте цену товара. Большинство товаров в выбранной категории стоят дороже 217",""))))),"")</f>
      </c>
    </row>
    <row r="196">
      <c r="A196" s="2" t="inlineStr">
        <is>
          <t>Крымский Хан</t>
        </is>
      </c>
      <c r="B196" s="2" t="inlineStr">
        <is>
          <t>Вилки столовые</t>
        </is>
      </c>
      <c r="C196" s="2">
        <v>53571353</v>
      </c>
      <c r="D196" s="2" t="inlineStr">
        <is>
          <t>vu3333vu3333</t>
        </is>
      </c>
      <c r="E196" s="2" t="inlineStr">
        <is>
          <t>2015302574010</t>
        </is>
      </c>
      <c r="F196" s="2">
        <v>96</v>
      </c>
      <c r="G196" s="2">
        <v>0</v>
      </c>
      <c r="H196" s="2">
        <v>496</v>
      </c>
      <c r="I196" s="2" t="inlineStr">
        <is>
          <t>2118</t>
        </is>
      </c>
      <c r="J196" s="4"/>
      <c r="K196" s="2">
        <v>20</v>
      </c>
      <c r="L196" s="6"/>
      <c r="M196" s="2" t="str">
        <f>IF(J196="",ROUND(I196*(1-IF(ISBLANK(L196),K196,L196)/100),2),ROUND(J196*(1-IF(ISBLANK(L196),K196,L196)/100),2))</f>
      </c>
      <c r="N196" s="7" t="str">
        <f>IF(NOT(AND(J196="",L196="")),IF(OR(AND(L196&lt;&gt;"",NOT(ISNUMBER(L196))),IFERROR(MOD(L196,1),1)&gt;0,AND(ISNUMBER(L196),OR(L196&lt;0,L196&gt;95))),"Введите целое число от 0 до 95",IF(OR(AND(J196&lt;&gt;"",NOT(ISNUMBER(J196))),IFERROR(MOD(J196,1),1)&gt;0,AND(ISNUMBER(J196),OR(J196&lt;50,J196&gt;20000000))),"Введите целое число от 50 до 20000000",IF(NOT(ABS(IFERROR(VALUE(LEFT(M196,FIND("-",M196)-1)),M196)*100-(2500+2000000000)/2)&lt;=ABS(2500-2000000000)/2),"Цена со скидкой должна быть от 25 до 20000000",IF(IFERROR(VALUE(LEFT(M196,FIND("-",M196)-1)),M196)*220&lt;169440,"Вы уменьшили цену в несколько раз, товар попадет в карантин цен",IF(AND(IFERROR(VALUE(I196),0)=0,ISNUMBER(J196),OR(J196&lt;217,ABS(IFERROR(VALUE(LEFT(M196,FIND("-",M196)-1)),M196))*100&lt;21700)),"Проверьте цену товара. Большинство товаров в выбранной категории стоят дороже 217",""))))),"")</f>
      </c>
    </row>
    <row r="197">
      <c r="A197" s="2" t="inlineStr">
        <is>
          <t>Крымский Хан</t>
        </is>
      </c>
      <c r="B197" s="2" t="inlineStr">
        <is>
          <t>Вилки десертные</t>
        </is>
      </c>
      <c r="C197" s="2">
        <v>67932866</v>
      </c>
      <c r="D197" s="2" t="inlineStr">
        <is>
          <t>v2106v2106</t>
        </is>
      </c>
      <c r="E197" s="2" t="inlineStr">
        <is>
          <t>2022785418021</t>
        </is>
      </c>
      <c r="F197" s="2">
        <v>49</v>
      </c>
      <c r="G197" s="2">
        <v>0</v>
      </c>
      <c r="H197" s="2">
        <v>193</v>
      </c>
      <c r="I197" s="2" t="inlineStr">
        <is>
          <t>1412</t>
        </is>
      </c>
      <c r="J197" s="4"/>
      <c r="K197" s="2">
        <v>10</v>
      </c>
      <c r="L197" s="6"/>
      <c r="M197" s="2" t="str">
        <f>IF(J197="",ROUND(I197*(1-IF(ISBLANK(L197),K197,L197)/100),2),ROUND(J197*(1-IF(ISBLANK(L197),K197,L197)/100),2))</f>
      </c>
      <c r="N197" s="7" t="str">
        <f>IF(NOT(AND(J197="",L197="")),IF(OR(AND(L197&lt;&gt;"",NOT(ISNUMBER(L197))),IFERROR(MOD(L197,1),1)&gt;0,AND(ISNUMBER(L197),OR(L197&lt;0,L197&gt;95))),"Введите целое число от 0 до 95",IF(OR(AND(J197&lt;&gt;"",NOT(ISNUMBER(J197))),IFERROR(MOD(J197,1),1)&gt;0,AND(ISNUMBER(J197),OR(J197&lt;50,J197&gt;20000000))),"Введите целое число от 50 до 20000000",IF(NOT(ABS(IFERROR(VALUE(LEFT(M197,FIND("-",M197)-1)),M197)*100-(2500+2000000000)/2)&lt;=ABS(2500-2000000000)/2),"Цена со скидкой должна быть от 25 до 20000000",IF(IFERROR(VALUE(LEFT(M197,FIND("-",M197)-1)),M197)*220&lt;127080,"Вы уменьшили цену в несколько раз, товар попадет в карантин цен",IF(AND(IFERROR(VALUE(I197),0)=0,ISNUMBER(J197),OR(J197&lt;223,ABS(IFERROR(VALUE(LEFT(M197,FIND("-",M197)-1)),M197))*100&lt;22300)),"Проверьте цену товара. Большинство товаров в выбранной категории стоят дороже 223",""))))),"")</f>
      </c>
    </row>
    <row r="198">
      <c r="A198" s="2" t="inlineStr">
        <is>
          <t>Крымский Хан</t>
        </is>
      </c>
      <c r="B198" s="2" t="inlineStr">
        <is>
          <t>Ложки чайные</t>
        </is>
      </c>
      <c r="C198" s="2">
        <v>44190448</v>
      </c>
      <c r="D198" s="2" t="inlineStr">
        <is>
          <t>KH3355KH3355</t>
        </is>
      </c>
      <c r="E198" s="2" t="inlineStr">
        <is>
          <t>2010353120001</t>
        </is>
      </c>
      <c r="F198" s="2">
        <v>49</v>
      </c>
      <c r="G198" s="2">
        <v>0</v>
      </c>
      <c r="H198" s="2">
        <v>999</v>
      </c>
      <c r="I198" s="2" t="inlineStr">
        <is>
          <t>1648</t>
        </is>
      </c>
      <c r="J198" s="4"/>
      <c r="K198" s="2">
        <v>20</v>
      </c>
      <c r="L198" s="6"/>
      <c r="M198" s="2" t="str">
        <f>IF(J198="",ROUND(I198*(1-IF(ISBLANK(L198),K198,L198)/100),2),ROUND(J198*(1-IF(ISBLANK(L198),K198,L198)/100),2))</f>
      </c>
      <c r="N198" s="7" t="str">
        <f>IF(NOT(AND(J198="",L198="")),IF(OR(AND(L198&lt;&gt;"",NOT(ISNUMBER(L198))),IFERROR(MOD(L198,1),1)&gt;0,AND(ISNUMBER(L198),OR(L198&lt;0,L198&gt;95))),"Введите целое число от 0 до 95",IF(OR(AND(J198&lt;&gt;"",NOT(ISNUMBER(J198))),IFERROR(MOD(J198,1),1)&gt;0,AND(ISNUMBER(J198),OR(J198&lt;50,J198&gt;20000000))),"Введите целое число от 50 до 20000000",IF(NOT(ABS(IFERROR(VALUE(LEFT(M198,FIND("-",M198)-1)),M198)*100-(2500+2000000000)/2)&lt;=ABS(2500-2000000000)/2),"Цена со скидкой должна быть от 25 до 20000000",IF(IFERROR(VALUE(LEFT(M198,FIND("-",M198)-1)),M198)*220&lt;131840,"Вы уменьшили цену в несколько раз, товар попадет в карантин цен",IF(AND(IFERROR(VALUE(I198),0)=0,ISNUMBER(J198),OR(J198&lt;206,ABS(IFERROR(VALUE(LEFT(M198,FIND("-",M198)-1)),M198))*100&lt;20600)),"Проверьте цену товара. Большинство товаров в выбранной категории стоят дороже 206",""))))),"")</f>
      </c>
    </row>
    <row r="199">
      <c r="A199" s="2" t="inlineStr">
        <is>
          <t>Крымский Хан</t>
        </is>
      </c>
      <c r="B199" s="2" t="inlineStr">
        <is>
          <t>Ложки чайные</t>
        </is>
      </c>
      <c r="C199" s="2">
        <v>51468733</v>
      </c>
      <c r="D199" s="2" t="inlineStr">
        <is>
          <t>KH3498KH3498</t>
        </is>
      </c>
      <c r="E199" s="2" t="inlineStr">
        <is>
          <t>2014471341010</t>
        </is>
      </c>
      <c r="F199" s="2">
        <v>51</v>
      </c>
      <c r="G199" s="2">
        <v>0</v>
      </c>
      <c r="H199" s="2">
        <v>621</v>
      </c>
      <c r="I199" s="2" t="inlineStr">
        <is>
          <t>1765</t>
        </is>
      </c>
      <c r="J199" s="4"/>
      <c r="K199" s="2">
        <v>15</v>
      </c>
      <c r="L199" s="6"/>
      <c r="M199" s="2" t="str">
        <f>IF(J199="",ROUND(I199*(1-IF(ISBLANK(L199),K199,L199)/100),2),ROUND(J199*(1-IF(ISBLANK(L199),K199,L199)/100),2))</f>
      </c>
      <c r="N199" s="7" t="str">
        <f>IF(NOT(AND(J199="",L199="")),IF(OR(AND(L199&lt;&gt;"",NOT(ISNUMBER(L199))),IFERROR(MOD(L199,1),1)&gt;0,AND(ISNUMBER(L199),OR(L199&lt;0,L199&gt;95))),"Введите целое число от 0 до 95",IF(OR(AND(J199&lt;&gt;"",NOT(ISNUMBER(J199))),IFERROR(MOD(J199,1),1)&gt;0,AND(ISNUMBER(J199),OR(J199&lt;50,J199&gt;20000000))),"Введите целое число от 50 до 20000000",IF(NOT(ABS(IFERROR(VALUE(LEFT(M199,FIND("-",M199)-1)),M199)*100-(2500+2000000000)/2)&lt;=ABS(2500-2000000000)/2),"Цена со скидкой должна быть от 25 до 20000000",IF(IFERROR(VALUE(LEFT(M199,FIND("-",M199)-1)),M199)*220&lt;150025,"Вы уменьшили цену в несколько раз, товар попадет в карантин цен",IF(AND(IFERROR(VALUE(I199),0)=0,ISNUMBER(J199),OR(J199&lt;206,ABS(IFERROR(VALUE(LEFT(M199,FIND("-",M199)-1)),M199))*100&lt;20600)),"Проверьте цену товара. Большинство товаров в выбранной категории стоят дороже 206",""))))),"")</f>
      </c>
    </row>
    <row r="200">
      <c r="A200" s="2" t="inlineStr">
        <is>
          <t>Крымский Хан</t>
        </is>
      </c>
      <c r="B200" s="2" t="inlineStr">
        <is>
          <t>Ложки чайные</t>
        </is>
      </c>
      <c r="C200" s="2">
        <v>37914456</v>
      </c>
      <c r="D200" s="2" t="inlineStr">
        <is>
          <t>KH3006KH3006</t>
        </is>
      </c>
      <c r="E200" s="2" t="inlineStr">
        <is>
          <t>2006872173130</t>
        </is>
      </c>
      <c r="F200" s="2">
        <v>167</v>
      </c>
      <c r="G200" s="2">
        <v>0</v>
      </c>
      <c r="H200" s="2">
        <v>290</v>
      </c>
      <c r="I200" s="2" t="inlineStr">
        <is>
          <t>1412</t>
        </is>
      </c>
      <c r="J200" s="4"/>
      <c r="K200" s="2">
        <v>20</v>
      </c>
      <c r="L200" s="6"/>
      <c r="M200" s="2" t="str">
        <f>IF(J200="",ROUND(I200*(1-IF(ISBLANK(L200),K200,L200)/100),2),ROUND(J200*(1-IF(ISBLANK(L200),K200,L200)/100),2))</f>
      </c>
      <c r="N200" s="7" t="str">
        <f>IF(NOT(AND(J200="",L200="")),IF(OR(AND(L200&lt;&gt;"",NOT(ISNUMBER(L200))),IFERROR(MOD(L200,1),1)&gt;0,AND(ISNUMBER(L200),OR(L200&lt;0,L200&gt;95))),"Введите целое число от 0 до 95",IF(OR(AND(J200&lt;&gt;"",NOT(ISNUMBER(J200))),IFERROR(MOD(J200,1),1)&gt;0,AND(ISNUMBER(J200),OR(J200&lt;50,J200&gt;20000000))),"Введите целое число от 50 до 20000000",IF(NOT(ABS(IFERROR(VALUE(LEFT(M200,FIND("-",M200)-1)),M200)*100-(2500+2000000000)/2)&lt;=ABS(2500-2000000000)/2),"Цена со скидкой должна быть от 25 до 20000000",IF(IFERROR(VALUE(LEFT(M200,FIND("-",M200)-1)),M200)*220&lt;112960,"Вы уменьшили цену в несколько раз, товар попадет в карантин цен",IF(AND(IFERROR(VALUE(I200),0)=0,ISNUMBER(J200),OR(J200&lt;206,ABS(IFERROR(VALUE(LEFT(M200,FIND("-",M200)-1)),M200))*100&lt;20600)),"Проверьте цену товара. Большинство товаров в выбранной категории стоят дороже 206",""))))),"")</f>
      </c>
    </row>
    <row r="201">
      <c r="A201" s="2" t="inlineStr">
        <is>
          <t>Крымский Хан</t>
        </is>
      </c>
      <c r="B201" s="2" t="inlineStr">
        <is>
          <t>Ложки чайные</t>
        </is>
      </c>
      <c r="C201" s="2">
        <v>45726842</v>
      </c>
      <c r="D201" s="2" t="inlineStr">
        <is>
          <t>KH4323KH4323</t>
        </is>
      </c>
      <c r="E201" s="2" t="inlineStr">
        <is>
          <t>2011499740023</t>
        </is>
      </c>
      <c r="F201" s="2">
        <v>1</v>
      </c>
      <c r="G201" s="2">
        <v>0</v>
      </c>
      <c r="H201" s="2">
        <v>8</v>
      </c>
      <c r="I201" s="2" t="inlineStr">
        <is>
          <t>1412</t>
        </is>
      </c>
      <c r="J201" s="4"/>
      <c r="K201" s="2">
        <v>20</v>
      </c>
      <c r="L201" s="6"/>
      <c r="M201" s="2" t="str">
        <f>IF(J201="",ROUND(I201*(1-IF(ISBLANK(L201),K201,L201)/100),2),ROUND(J201*(1-IF(ISBLANK(L201),K201,L201)/100),2))</f>
      </c>
      <c r="N201" s="7" t="str">
        <f>IF(NOT(AND(J201="",L201="")),IF(OR(AND(L201&lt;&gt;"",NOT(ISNUMBER(L201))),IFERROR(MOD(L201,1),1)&gt;0,AND(ISNUMBER(L201),OR(L201&lt;0,L201&gt;95))),"Введите целое число от 0 до 95",IF(OR(AND(J201&lt;&gt;"",NOT(ISNUMBER(J201))),IFERROR(MOD(J201,1),1)&gt;0,AND(ISNUMBER(J201),OR(J201&lt;50,J201&gt;20000000))),"Введите целое число от 50 до 20000000",IF(NOT(ABS(IFERROR(VALUE(LEFT(M201,FIND("-",M201)-1)),M201)*100-(2500+2000000000)/2)&lt;=ABS(2500-2000000000)/2),"Цена со скидкой должна быть от 25 до 20000000",IF(IFERROR(VALUE(LEFT(M201,FIND("-",M201)-1)),M201)*220&lt;112960,"Вы уменьшили цену в несколько раз, товар попадет в карантин цен",IF(AND(IFERROR(VALUE(I201),0)=0,ISNUMBER(J201),OR(J201&lt;206,ABS(IFERROR(VALUE(LEFT(M201,FIND("-",M201)-1)),M201))*100&lt;20600)),"Проверьте цену товара. Большинство товаров в выбранной категории стоят дороже 206",""))))),"")</f>
      </c>
    </row>
    <row r="202">
      <c r="A202" s="2" t="inlineStr">
        <is>
          <t>Крымский Хан</t>
        </is>
      </c>
      <c r="B202" s="2" t="inlineStr">
        <is>
          <t>Ложки чайные</t>
        </is>
      </c>
      <c r="C202" s="2">
        <v>43144135</v>
      </c>
      <c r="D202" s="2" t="inlineStr">
        <is>
          <t>KH3342KH3342</t>
        </is>
      </c>
      <c r="E202" s="2" t="inlineStr">
        <is>
          <t>2009078189004</t>
        </is>
      </c>
      <c r="F202" s="2">
        <v>25</v>
      </c>
      <c r="G202" s="2">
        <v>0</v>
      </c>
      <c r="H202" s="2">
        <v>999</v>
      </c>
      <c r="I202" s="2" t="inlineStr">
        <is>
          <t>1412</t>
        </is>
      </c>
      <c r="J202" s="4"/>
      <c r="K202" s="2">
        <v>20</v>
      </c>
      <c r="L202" s="6"/>
      <c r="M202" s="2" t="str">
        <f>IF(J202="",ROUND(I202*(1-IF(ISBLANK(L202),K202,L202)/100),2),ROUND(J202*(1-IF(ISBLANK(L202),K202,L202)/100),2))</f>
      </c>
      <c r="N202" s="7" t="str">
        <f>IF(NOT(AND(J202="",L202="")),IF(OR(AND(L202&lt;&gt;"",NOT(ISNUMBER(L202))),IFERROR(MOD(L202,1),1)&gt;0,AND(ISNUMBER(L202),OR(L202&lt;0,L202&gt;95))),"Введите целое число от 0 до 95",IF(OR(AND(J202&lt;&gt;"",NOT(ISNUMBER(J202))),IFERROR(MOD(J202,1),1)&gt;0,AND(ISNUMBER(J202),OR(J202&lt;50,J202&gt;20000000))),"Введите целое число от 50 до 20000000",IF(NOT(ABS(IFERROR(VALUE(LEFT(M202,FIND("-",M202)-1)),M202)*100-(2500+2000000000)/2)&lt;=ABS(2500-2000000000)/2),"Цена со скидкой должна быть от 25 до 20000000",IF(IFERROR(VALUE(LEFT(M202,FIND("-",M202)-1)),M202)*220&lt;112960,"Вы уменьшили цену в несколько раз, товар попадет в карантин цен",IF(AND(IFERROR(VALUE(I202),0)=0,ISNUMBER(J202),OR(J202&lt;206,ABS(IFERROR(VALUE(LEFT(M202,FIND("-",M202)-1)),M202))*100&lt;20600)),"Проверьте цену товара. Большинство товаров в выбранной категории стоят дороже 206",""))))),"")</f>
      </c>
    </row>
    <row r="203">
      <c r="A203" s="2" t="inlineStr">
        <is>
          <t>Крымские мастера</t>
        </is>
      </c>
      <c r="B203" s="2" t="inlineStr">
        <is>
          <t>Сувенирные ложки</t>
        </is>
      </c>
      <c r="C203" s="2">
        <v>160148145</v>
      </c>
      <c r="D203" s="2" t="inlineStr">
        <is>
          <t>сувенир самарканд</t>
        </is>
      </c>
      <c r="E203" s="2" t="inlineStr">
        <is>
          <t>2037798357410</t>
        </is>
      </c>
      <c r="F203" s="2">
        <v>0</v>
      </c>
      <c r="G203" s="2">
        <v>0</v>
      </c>
      <c r="H203" s="2">
        <v>0</v>
      </c>
      <c r="I203" s="2" t="inlineStr">
        <is>
          <t>942</t>
        </is>
      </c>
      <c r="J203" s="4"/>
      <c r="K203" s="2">
        <v>15</v>
      </c>
      <c r="L203" s="6"/>
      <c r="M203" s="2" t="str">
        <f>IF(J203="",ROUND(I203*(1-IF(ISBLANK(L203),K203,L203)/100),2),ROUND(J203*(1-IF(ISBLANK(L203),K203,L203)/100),2))</f>
      </c>
      <c r="N203" s="7" t="str">
        <f>IF(NOT(AND(J203="",L203="")),IF(OR(AND(L203&lt;&gt;"",NOT(ISNUMBER(L203))),IFERROR(MOD(L203,1),1)&gt;0,AND(ISNUMBER(L203),OR(L203&lt;0,L203&gt;95))),"Введите целое число от 0 до 95",IF(OR(AND(J203&lt;&gt;"",NOT(ISNUMBER(J203))),IFERROR(MOD(J203,1),1)&gt;0,AND(ISNUMBER(J203),OR(J203&lt;50,J203&gt;20000000))),"Введите целое число от 50 до 20000000",IF(NOT(ABS(IFERROR(VALUE(LEFT(M203,FIND("-",M203)-1)),M203)*100-(2500+2000000000)/2)&lt;=ABS(2500-2000000000)/2),"Цена со скидкой должна быть от 25 до 20000000",IF(IFERROR(VALUE(LEFT(M203,FIND("-",M203)-1)),M203)*220&lt;80070,"Вы уменьшили цену в несколько раз, товар попадет в карантин цен",IF(AND(IFERROR(VALUE(I203),0)=0,ISNUMBER(J203),OR(J203&lt;295,ABS(IFERROR(VALUE(LEFT(M203,FIND("-",M203)-1)),M203))*100&lt;29500)),"Проверьте цену товара. Большинство товаров в выбранной категории стоят дороже 295",""))))),"")</f>
      </c>
    </row>
    <row r="204">
      <c r="A204" s="2" t="inlineStr">
        <is>
          <t>Крымский Хан</t>
        </is>
      </c>
      <c r="B204" s="2" t="inlineStr">
        <is>
          <t>Наборы для специй</t>
        </is>
      </c>
      <c r="C204" s="2">
        <v>269704264</v>
      </c>
      <c r="D204" s="2" t="inlineStr">
        <is>
          <t>соль и перец</t>
        </is>
      </c>
      <c r="E204" s="2" t="inlineStr">
        <is>
          <t>2041442517402</t>
        </is>
      </c>
      <c r="F204" s="2">
        <v>2</v>
      </c>
      <c r="G204" s="2">
        <v>5</v>
      </c>
      <c r="H204" s="2">
        <v>55</v>
      </c>
      <c r="I204" s="2" t="inlineStr">
        <is>
          <t>4000</t>
        </is>
      </c>
      <c r="J204" s="4"/>
      <c r="K204" s="2">
        <v>25</v>
      </c>
      <c r="L204" s="6"/>
      <c r="M204" s="2" t="str">
        <f>IF(J204="",ROUND(I204*(1-IF(ISBLANK(L204),K204,L204)/100),2),ROUND(J204*(1-IF(ISBLANK(L204),K204,L204)/100),2))</f>
      </c>
      <c r="N204" s="7" t="str">
        <f>IF(NOT(AND(J204="",L204="")),IF(OR(AND(L204&lt;&gt;"",NOT(ISNUMBER(L204))),IFERROR(MOD(L204,1),1)&gt;0,AND(ISNUMBER(L204),OR(L204&lt;0,L204&gt;95))),"Введите целое число от 0 до 95",IF(OR(AND(J204&lt;&gt;"",NOT(ISNUMBER(J204))),IFERROR(MOD(J204,1),1)&gt;0,AND(ISNUMBER(J204),OR(J204&lt;50,J204&gt;20000000))),"Введите целое число от 50 до 20000000",IF(NOT(ABS(IFERROR(VALUE(LEFT(M204,FIND("-",M204)-1)),M204)*100-(2500+2000000000)/2)&lt;=ABS(2500-2000000000)/2),"Цена со скидкой должна быть от 25 до 20000000",IF(IFERROR(VALUE(LEFT(M204,FIND("-",M204)-1)),M204)*220&lt;300000,"Вы уменьшили цену в несколько раз, товар попадет в карантин цен",IF(AND(IFERROR(VALUE(I204),0)=0,ISNUMBER(J204),OR(J204&lt;263,ABS(IFERROR(VALUE(LEFT(M204,FIND("-",M204)-1)),M204))*100&lt;26300)),"Проверьте цену товара. Большинство товаров в выбранной категории стоят дороже 263",""))))),"")</f>
      </c>
    </row>
    <row r="205">
      <c r="A205" s="2" t="inlineStr">
        <is>
          <t>Крымский Хан</t>
        </is>
      </c>
      <c r="B205" s="2" t="inlineStr">
        <is>
          <t>Ложки чайные</t>
        </is>
      </c>
      <c r="C205" s="2">
        <v>266774765</v>
      </c>
      <c r="D205" s="2" t="inlineStr">
        <is>
          <t>Россия</t>
        </is>
      </c>
      <c r="E205" s="2" t="inlineStr">
        <is>
          <t>2041360508711</t>
        </is>
      </c>
      <c r="F205" s="2">
        <v>60</v>
      </c>
      <c r="G205" s="2">
        <v>0</v>
      </c>
      <c r="H205" s="2">
        <v>466</v>
      </c>
      <c r="I205" s="2" t="inlineStr">
        <is>
          <t>1412</t>
        </is>
      </c>
      <c r="J205" s="4"/>
      <c r="K205" s="2">
        <v>20</v>
      </c>
      <c r="L205" s="6"/>
      <c r="M205" s="2" t="str">
        <f>IF(J205="",ROUND(I205*(1-IF(ISBLANK(L205),K205,L205)/100),2),ROUND(J205*(1-IF(ISBLANK(L205),K205,L205)/100),2))</f>
      </c>
      <c r="N205" s="7" t="str">
        <f>IF(NOT(AND(J205="",L205="")),IF(OR(AND(L205&lt;&gt;"",NOT(ISNUMBER(L205))),IFERROR(MOD(L205,1),1)&gt;0,AND(ISNUMBER(L205),OR(L205&lt;0,L205&gt;95))),"Введите целое число от 0 до 95",IF(OR(AND(J205&lt;&gt;"",NOT(ISNUMBER(J205))),IFERROR(MOD(J205,1),1)&gt;0,AND(ISNUMBER(J205),OR(J205&lt;50,J205&gt;20000000))),"Введите целое число от 50 до 20000000",IF(NOT(ABS(IFERROR(VALUE(LEFT(M205,FIND("-",M205)-1)),M205)*100-(2500+2000000000)/2)&lt;=ABS(2500-2000000000)/2),"Цена со скидкой должна быть от 25 до 20000000",IF(IFERROR(VALUE(LEFT(M205,FIND("-",M205)-1)),M205)*220&lt;112960,"Вы уменьшили цену в несколько раз, товар попадет в карантин цен",IF(AND(IFERROR(VALUE(I205),0)=0,ISNUMBER(J205),OR(J205&lt;206,ABS(IFERROR(VALUE(LEFT(M205,FIND("-",M205)-1)),M205))*100&lt;20600)),"Проверьте цену товара. Большинство товаров в выбранной категории стоят дороже 206",""))))),"")</f>
      </c>
    </row>
    <row r="206">
      <c r="A206" s="2" t="inlineStr">
        <is>
          <t>Крымский Хан</t>
        </is>
      </c>
      <c r="B206" s="2" t="inlineStr">
        <is>
          <t>Ложки кофейные</t>
        </is>
      </c>
      <c r="C206" s="2">
        <v>32539696</v>
      </c>
      <c r="D206" s="2" t="inlineStr">
        <is>
          <t>GD3132GD3132</t>
        </is>
      </c>
      <c r="E206" s="2" t="inlineStr">
        <is>
          <t>2003804356081</t>
        </is>
      </c>
      <c r="F206" s="2">
        <v>342</v>
      </c>
      <c r="G206" s="2">
        <v>86</v>
      </c>
      <c r="H206" s="2">
        <v>252</v>
      </c>
      <c r="I206" s="2" t="inlineStr">
        <is>
          <t>1765</t>
        </is>
      </c>
      <c r="J206" s="4"/>
      <c r="K206" s="2">
        <v>15</v>
      </c>
      <c r="L206" s="6"/>
      <c r="M206" s="2" t="str">
        <f>IF(J206="",ROUND(I206*(1-IF(ISBLANK(L206),K206,L206)/100),2),ROUND(J206*(1-IF(ISBLANK(L206),K206,L206)/100),2))</f>
      </c>
      <c r="N206" s="7" t="str">
        <f>IF(NOT(AND(J206="",L206="")),IF(OR(AND(L206&lt;&gt;"",NOT(ISNUMBER(L206))),IFERROR(MOD(L206,1),1)&gt;0,AND(ISNUMBER(L206),OR(L206&lt;0,L206&gt;95))),"Введите целое число от 0 до 95",IF(OR(AND(J206&lt;&gt;"",NOT(ISNUMBER(J206))),IFERROR(MOD(J206,1),1)&gt;0,AND(ISNUMBER(J206),OR(J206&lt;50,J206&gt;20000000))),"Введите целое число от 50 до 20000000",IF(NOT(ABS(IFERROR(VALUE(LEFT(M206,FIND("-",M206)-1)),M206)*100-(2500+2000000000)/2)&lt;=ABS(2500-2000000000)/2),"Цена со скидкой должна быть от 25 до 20000000",IF(IFERROR(VALUE(LEFT(M206,FIND("-",M206)-1)),M206)*220&lt;150025,"Вы уменьшили цену в несколько раз, товар попадет в карантин цен",IF(AND(IFERROR(VALUE(I206),0)=0,ISNUMBER(J206),OR(J206&lt;246,ABS(IFERROR(VALUE(LEFT(M206,FIND("-",M206)-1)),M206))*100&lt;24600)),"Проверьте цену товара. Большинство товаров в выбранной категории стоят дороже 246",""))))),"")</f>
      </c>
    </row>
    <row r="207">
      <c r="A207" s="2" t="inlineStr">
        <is>
          <t>Крымский Хан</t>
        </is>
      </c>
      <c r="B207" s="2" t="inlineStr">
        <is>
          <t>Рюмки</t>
        </is>
      </c>
      <c r="C207" s="2">
        <v>133979075</v>
      </c>
      <c r="D207" s="2" t="inlineStr">
        <is>
          <t>рюмка римская</t>
        </is>
      </c>
      <c r="E207" s="2" t="inlineStr">
        <is>
          <t>2037072772090</t>
        </is>
      </c>
      <c r="F207" s="2">
        <v>0</v>
      </c>
      <c r="G207" s="2">
        <v>0</v>
      </c>
      <c r="H207" s="2">
        <v>1</v>
      </c>
      <c r="I207" s="2" t="inlineStr">
        <is>
          <t>3283</t>
        </is>
      </c>
      <c r="J207" s="4"/>
      <c r="K207" s="2">
        <v>15</v>
      </c>
      <c r="L207" s="6"/>
      <c r="M207" s="2" t="str">
        <f>IF(J207="",ROUND(I207*(1-IF(ISBLANK(L207),K207,L207)/100),2),ROUND(J207*(1-IF(ISBLANK(L207),K207,L207)/100),2))</f>
      </c>
      <c r="N207" s="7" t="str">
        <f>IF(NOT(AND(J207="",L207="")),IF(OR(AND(L207&lt;&gt;"",NOT(ISNUMBER(L207))),IFERROR(MOD(L207,1),1)&gt;0,AND(ISNUMBER(L207),OR(L207&lt;0,L207&gt;95))),"Введите целое число от 0 до 95",IF(OR(AND(J207&lt;&gt;"",NOT(ISNUMBER(J207))),IFERROR(MOD(J207,1),1)&gt;0,AND(ISNUMBER(J207),OR(J207&lt;50,J207&gt;20000000))),"Введите целое число от 50 до 20000000",IF(NOT(ABS(IFERROR(VALUE(LEFT(M207,FIND("-",M207)-1)),M207)*100-(2500+2000000000)/2)&lt;=ABS(2500-2000000000)/2),"Цена со скидкой должна быть от 25 до 20000000",IF(IFERROR(VALUE(LEFT(M207,FIND("-",M207)-1)),M207)*220&lt;279055,"Вы уменьшили цену в несколько раз, товар попадет в карантин цен",IF(AND(IFERROR(VALUE(I207),0)=0,ISNUMBER(J207),OR(J207&lt;252,ABS(IFERROR(VALUE(LEFT(M207,FIND("-",M207)-1)),M207))*100&lt;25200)),"Проверьте цену товара. Большинство товаров в выбранной категории стоят дороже 252",""))))),"")</f>
      </c>
    </row>
    <row r="208">
      <c r="A208" s="2" t="inlineStr">
        <is>
          <t>Крымский Хан</t>
        </is>
      </c>
      <c r="B208" s="2" t="inlineStr">
        <is>
          <t>Палочки для еды</t>
        </is>
      </c>
      <c r="C208" s="2">
        <v>39490578</v>
      </c>
      <c r="D208" s="2" t="inlineStr">
        <is>
          <t>KH3111KH3111</t>
        </is>
      </c>
      <c r="E208" s="2" t="inlineStr">
        <is>
          <t>2007618362009</t>
        </is>
      </c>
      <c r="F208" s="2">
        <v>19</v>
      </c>
      <c r="G208" s="2">
        <v>15</v>
      </c>
      <c r="H208" s="2">
        <v>537</v>
      </c>
      <c r="I208" s="2" t="inlineStr">
        <is>
          <t>1648</t>
        </is>
      </c>
      <c r="J208" s="4"/>
      <c r="K208" s="2">
        <v>5</v>
      </c>
      <c r="L208" s="6"/>
      <c r="M208" s="2" t="str">
        <f>IF(J208="",ROUND(I208*(1-IF(ISBLANK(L208),K208,L208)/100),2),ROUND(J208*(1-IF(ISBLANK(L208),K208,L208)/100),2))</f>
      </c>
      <c r="N208" s="7" t="str">
        <f>IF(NOT(AND(J208="",L208="")),IF(OR(AND(L208&lt;&gt;"",NOT(ISNUMBER(L208))),IFERROR(MOD(L208,1),1)&gt;0,AND(ISNUMBER(L208),OR(L208&lt;0,L208&gt;95))),"Введите целое число от 0 до 95",IF(OR(AND(J208&lt;&gt;"",NOT(ISNUMBER(J208))),IFERROR(MOD(J208,1),1)&gt;0,AND(ISNUMBER(J208),OR(J208&lt;50,J208&gt;20000000))),"Введите целое число от 50 до 20000000",IF(NOT(ABS(IFERROR(VALUE(LEFT(M208,FIND("-",M208)-1)),M208)*100-(2500+2000000000)/2)&lt;=ABS(2500-2000000000)/2),"Цена со скидкой должна быть от 25 до 20000000",IF(IFERROR(VALUE(LEFT(M208,FIND("-",M208)-1)),M208)*220&lt;156560,"Вы уменьшили цену в несколько раз, товар попадет в карантин цен",IF(AND(IFERROR(VALUE(I208),0)=0,ISNUMBER(J208),OR(J208&lt;275,ABS(IFERROR(VALUE(LEFT(M208,FIND("-",M208)-1)),M208))*100&lt;27500)),"Проверьте цену товара. Большинство товаров в выбранной категории стоят дороже 275",""))))),"")</f>
      </c>
    </row>
    <row r="209">
      <c r="A209" s="2" t="inlineStr">
        <is>
          <t>Крымский Хан</t>
        </is>
      </c>
      <c r="B209" s="2" t="inlineStr">
        <is>
          <t>Ложки кофейные</t>
        </is>
      </c>
      <c r="C209" s="2">
        <v>39490663</v>
      </c>
      <c r="D209" s="2" t="inlineStr">
        <is>
          <t>KH3333KH3333</t>
        </is>
      </c>
      <c r="E209" s="2" t="inlineStr">
        <is>
          <t>2007618362016</t>
        </is>
      </c>
      <c r="F209" s="2">
        <v>80</v>
      </c>
      <c r="G209" s="2">
        <v>49</v>
      </c>
      <c r="H209" s="2">
        <v>338</v>
      </c>
      <c r="I209" s="2" t="inlineStr">
        <is>
          <t>1765</t>
        </is>
      </c>
      <c r="J209" s="4"/>
      <c r="K209" s="2">
        <v>15</v>
      </c>
      <c r="L209" s="6"/>
      <c r="M209" s="2" t="str">
        <f>IF(J209="",ROUND(I209*(1-IF(ISBLANK(L209),K209,L209)/100),2),ROUND(J209*(1-IF(ISBLANK(L209),K209,L209)/100),2))</f>
      </c>
      <c r="N209" s="7" t="str">
        <f>IF(NOT(AND(J209="",L209="")),IF(OR(AND(L209&lt;&gt;"",NOT(ISNUMBER(L209))),IFERROR(MOD(L209,1),1)&gt;0,AND(ISNUMBER(L209),OR(L209&lt;0,L209&gt;95))),"Введите целое число от 0 до 95",IF(OR(AND(J209&lt;&gt;"",NOT(ISNUMBER(J209))),IFERROR(MOD(J209,1),1)&gt;0,AND(ISNUMBER(J209),OR(J209&lt;50,J209&gt;20000000))),"Введите целое число от 50 до 20000000",IF(NOT(ABS(IFERROR(VALUE(LEFT(M209,FIND("-",M209)-1)),M209)*100-(2500+2000000000)/2)&lt;=ABS(2500-2000000000)/2),"Цена со скидкой должна быть от 25 до 20000000",IF(IFERROR(VALUE(LEFT(M209,FIND("-",M209)-1)),M209)*220&lt;150025,"Вы уменьшили цену в несколько раз, товар попадет в карантин цен",IF(AND(IFERROR(VALUE(I209),0)=0,ISNUMBER(J209),OR(J209&lt;246,ABS(IFERROR(VALUE(LEFT(M209,FIND("-",M209)-1)),M209))*100&lt;24600)),"Проверьте цену товара. Большинство товаров в выбранной категории стоят дороже 246",""))))),"")</f>
      </c>
    </row>
    <row r="210">
      <c r="A210" s="2" t="inlineStr">
        <is>
          <t>Крымский Хан</t>
        </is>
      </c>
      <c r="B210" s="2" t="inlineStr">
        <is>
          <t>Ложки чайные</t>
        </is>
      </c>
      <c r="C210" s="2">
        <v>44190446</v>
      </c>
      <c r="D210" s="2" t="inlineStr">
        <is>
          <t>KH3350KH3350</t>
        </is>
      </c>
      <c r="E210" s="2" t="inlineStr">
        <is>
          <t>2010352214008</t>
        </is>
      </c>
      <c r="F210" s="2">
        <v>41</v>
      </c>
      <c r="G210" s="2">
        <v>0</v>
      </c>
      <c r="H210" s="2">
        <v>278</v>
      </c>
      <c r="I210" s="2" t="inlineStr">
        <is>
          <t>1412</t>
        </is>
      </c>
      <c r="J210" s="4"/>
      <c r="K210" s="2">
        <v>20</v>
      </c>
      <c r="L210" s="6"/>
      <c r="M210" s="2" t="str">
        <f>IF(J210="",ROUND(I210*(1-IF(ISBLANK(L210),K210,L210)/100),2),ROUND(J210*(1-IF(ISBLANK(L210),K210,L210)/100),2))</f>
      </c>
      <c r="N210" s="7" t="str">
        <f>IF(NOT(AND(J210="",L210="")),IF(OR(AND(L210&lt;&gt;"",NOT(ISNUMBER(L210))),IFERROR(MOD(L210,1),1)&gt;0,AND(ISNUMBER(L210),OR(L210&lt;0,L210&gt;95))),"Введите целое число от 0 до 95",IF(OR(AND(J210&lt;&gt;"",NOT(ISNUMBER(J210))),IFERROR(MOD(J210,1),1)&gt;0,AND(ISNUMBER(J210),OR(J210&lt;50,J210&gt;20000000))),"Введите целое число от 50 до 20000000",IF(NOT(ABS(IFERROR(VALUE(LEFT(M210,FIND("-",M210)-1)),M210)*100-(2500+2000000000)/2)&lt;=ABS(2500-2000000000)/2),"Цена со скидкой должна быть от 25 до 20000000",IF(IFERROR(VALUE(LEFT(M210,FIND("-",M210)-1)),M210)*220&lt;112960,"Вы уменьшили цену в несколько раз, товар попадет в карантин цен",IF(AND(IFERROR(VALUE(I210),0)=0,ISNUMBER(J210),OR(J210&lt;206,ABS(IFERROR(VALUE(LEFT(M210,FIND("-",M210)-1)),M210))*100&lt;20600)),"Проверьте цену товара. Большинство товаров в выбранной категории стоят дороже 206",""))))),"")</f>
      </c>
    </row>
    <row r="211">
      <c r="A211" s="2" t="inlineStr">
        <is>
          <t>Крымский Хан</t>
        </is>
      </c>
      <c r="B211" s="2" t="inlineStr">
        <is>
          <t>Ложки кофейные</t>
        </is>
      </c>
      <c r="C211" s="2">
        <v>53571307</v>
      </c>
      <c r="D211" s="2" t="inlineStr">
        <is>
          <t>s00001s00001</t>
        </is>
      </c>
      <c r="E211" s="2" t="inlineStr">
        <is>
          <t>2015302574027</t>
        </is>
      </c>
      <c r="F211" s="2">
        <v>241</v>
      </c>
      <c r="G211" s="2">
        <v>0</v>
      </c>
      <c r="H211" s="2">
        <v>93</v>
      </c>
      <c r="I211" s="2" t="inlineStr">
        <is>
          <t>1765</t>
        </is>
      </c>
      <c r="J211" s="4"/>
      <c r="K211" s="2">
        <v>15</v>
      </c>
      <c r="L211" s="6"/>
      <c r="M211" s="2" t="str">
        <f>IF(J211="",ROUND(I211*(1-IF(ISBLANK(L211),K211,L211)/100),2),ROUND(J211*(1-IF(ISBLANK(L211),K211,L211)/100),2))</f>
      </c>
      <c r="N211" s="7" t="str">
        <f>IF(NOT(AND(J211="",L211="")),IF(OR(AND(L211&lt;&gt;"",NOT(ISNUMBER(L211))),IFERROR(MOD(L211,1),1)&gt;0,AND(ISNUMBER(L211),OR(L211&lt;0,L211&gt;95))),"Введите целое число от 0 до 95",IF(OR(AND(J211&lt;&gt;"",NOT(ISNUMBER(J211))),IFERROR(MOD(J211,1),1)&gt;0,AND(ISNUMBER(J211),OR(J211&lt;50,J211&gt;20000000))),"Введите целое число от 50 до 20000000",IF(NOT(ABS(IFERROR(VALUE(LEFT(M211,FIND("-",M211)-1)),M211)*100-(2500+2000000000)/2)&lt;=ABS(2500-2000000000)/2),"Цена со скидкой должна быть от 25 до 20000000",IF(IFERROR(VALUE(LEFT(M211,FIND("-",M211)-1)),M211)*220&lt;150025,"Вы уменьшили цену в несколько раз, товар попадет в карантин цен",IF(AND(IFERROR(VALUE(I211),0)=0,ISNUMBER(J211),OR(J211&lt;246,ABS(IFERROR(VALUE(LEFT(M211,FIND("-",M211)-1)),M211))*100&lt;24600)),"Проверьте цену товара. Большинство товаров в выбранной категории стоят дороже 246",""))))),"")</f>
      </c>
    </row>
    <row r="212">
      <c r="A212" s="2" t="inlineStr">
        <is>
          <t>Крымский Хан</t>
        </is>
      </c>
      <c r="B212" s="2" t="inlineStr">
        <is>
          <t>Палочки для еды</t>
        </is>
      </c>
      <c r="C212" s="2">
        <v>83880276</v>
      </c>
      <c r="D212" s="2" t="inlineStr">
        <is>
          <t>pe3006pe3006</t>
        </is>
      </c>
      <c r="E212" s="2" t="inlineStr">
        <is>
          <t>2029305667624</t>
        </is>
      </c>
      <c r="F212" s="2">
        <v>12</v>
      </c>
      <c r="G212" s="2">
        <v>0</v>
      </c>
      <c r="H212" s="2">
        <v>999</v>
      </c>
      <c r="I212" s="2" t="inlineStr">
        <is>
          <t>1648</t>
        </is>
      </c>
      <c r="J212" s="4"/>
      <c r="K212" s="2">
        <v>5</v>
      </c>
      <c r="L212" s="6"/>
      <c r="M212" s="2" t="str">
        <f>IF(J212="",ROUND(I212*(1-IF(ISBLANK(L212),K212,L212)/100),2),ROUND(J212*(1-IF(ISBLANK(L212),K212,L212)/100),2))</f>
      </c>
      <c r="N212" s="7" t="str">
        <f>IF(NOT(AND(J212="",L212="")),IF(OR(AND(L212&lt;&gt;"",NOT(ISNUMBER(L212))),IFERROR(MOD(L212,1),1)&gt;0,AND(ISNUMBER(L212),OR(L212&lt;0,L212&gt;95))),"Введите целое число от 0 до 95",IF(OR(AND(J212&lt;&gt;"",NOT(ISNUMBER(J212))),IFERROR(MOD(J212,1),1)&gt;0,AND(ISNUMBER(J212),OR(J212&lt;50,J212&gt;20000000))),"Введите целое число от 50 до 20000000",IF(NOT(ABS(IFERROR(VALUE(LEFT(M212,FIND("-",M212)-1)),M212)*100-(2500+2000000000)/2)&lt;=ABS(2500-2000000000)/2),"Цена со скидкой должна быть от 25 до 20000000",IF(IFERROR(VALUE(LEFT(M212,FIND("-",M212)-1)),M212)*220&lt;156560,"Вы уменьшили цену в несколько раз, товар попадет в карантин цен",IF(AND(IFERROR(VALUE(I212),0)=0,ISNUMBER(J212),OR(J212&lt;275,ABS(IFERROR(VALUE(LEFT(M212,FIND("-",M212)-1)),M212))*100&lt;27500)),"Проверьте цену товара. Большинство товаров в выбранной категории стоят дороже 275",""))))),"")</f>
      </c>
    </row>
    <row r="213">
      <c r="A213" s="2" t="inlineStr">
        <is>
          <t>ZS</t>
        </is>
      </c>
      <c r="B213" s="2" t="inlineStr">
        <is>
          <t>Органайзеры для хранения</t>
        </is>
      </c>
      <c r="C213" s="2">
        <v>53564013</v>
      </c>
      <c r="D213" s="2" t="inlineStr">
        <is>
          <t>g76549голубой</t>
        </is>
      </c>
      <c r="E213" s="2" t="inlineStr">
        <is>
          <t>2015304459032</t>
        </is>
      </c>
      <c r="F213" s="2" t="inlineStr">
        <is>
          <t/>
        </is>
      </c>
      <c r="G213" s="2" t="inlineStr">
        <is>
          <t/>
        </is>
      </c>
      <c r="H213" s="2" t="inlineStr">
        <is>
          <t/>
        </is>
      </c>
      <c r="I213" s="2" t="inlineStr">
        <is>
          <t>565</t>
        </is>
      </c>
      <c r="J213" s="4"/>
      <c r="K213" s="2">
        <v>15</v>
      </c>
      <c r="L213" s="6"/>
      <c r="M213" s="2" t="str">
        <f>IF(J213="",ROUND(I213*(1-IF(ISBLANK(L213),K213,L213)/100),2),ROUND(J213*(1-IF(ISBLANK(L213),K213,L213)/100),2))</f>
      </c>
      <c r="N213" s="7" t="str">
        <f>IF(NOT(AND(J213="",L213="")),IF(OR(AND(L213&lt;&gt;"",NOT(ISNUMBER(L213))),IFERROR(MOD(L213,1),1)&gt;0,AND(ISNUMBER(L213),OR(L213&lt;0,L213&gt;95))),"Введите целое число от 0 до 95",IF(OR(AND(J213&lt;&gt;"",NOT(ISNUMBER(J213))),IFERROR(MOD(J213,1),1)&gt;0,AND(ISNUMBER(J213),OR(J213&lt;50,J213&gt;20000000))),"Введите целое число от 50 до 20000000",IF(NOT(ABS(IFERROR(VALUE(LEFT(M213,FIND("-",M213)-1)),M213)*100-(2500+2000000000)/2)&lt;=ABS(2500-2000000000)/2),"Цена со скидкой должна быть от 25 до 20000000",IF(IFERROR(VALUE(LEFT(M213,FIND("-",M213)-1)),M213)*180&lt;48025,"Вы уменьшили цену в несколько раз, товар попадет в карантин цен",IF(AND(IFERROR(VALUE(I213),0)=0,ISNUMBER(J213),OR(J213&lt;239,ABS(IFERROR(VALUE(LEFT(M213,FIND("-",M213)-1)),M213))*100&lt;23900)),"Проверьте цену товара. Большинство товаров в выбранной категории стоят дороже 239",""))))),"")</f>
      </c>
    </row>
    <row r="214">
      <c r="A214" s="2" t="inlineStr">
        <is>
          <t>Крымский Хан</t>
        </is>
      </c>
      <c r="B214" s="2" t="inlineStr">
        <is>
          <t>Крючки настенные</t>
        </is>
      </c>
      <c r="C214" s="2">
        <v>972517954</v>
      </c>
      <c r="D214" s="2" t="inlineStr">
        <is>
          <t>wb43gvdpx6</t>
        </is>
      </c>
      <c r="E214" s="2" t="inlineStr">
        <is>
          <t>2050565690657</t>
        </is>
      </c>
      <c r="F214" s="2">
        <v>9</v>
      </c>
      <c r="G214" s="2">
        <v>0</v>
      </c>
      <c r="H214" s="2">
        <v>999</v>
      </c>
      <c r="I214" s="2" t="inlineStr">
        <is>
          <t>1600</t>
        </is>
      </c>
      <c r="J214" s="4"/>
      <c r="K214" s="2">
        <v>0</v>
      </c>
      <c r="L214" s="6"/>
      <c r="M214" s="2" t="str">
        <f>IF(J214="",ROUND(I214*(1-IF(ISBLANK(L214),K214,L214)/100),2),ROUND(J214*(1-IF(ISBLANK(L214),K214,L214)/100),2))</f>
      </c>
      <c r="N214" s="7" t="str">
        <f>IF(NOT(AND(J214="",L214="")),IF(OR(AND(L214&lt;&gt;"",NOT(ISNUMBER(L214))),IFERROR(MOD(L214,1),1)&gt;0,AND(ISNUMBER(L214),OR(L214&lt;0,L214&gt;95))),"Введите целое число от 0 до 95",IF(OR(AND(J214&lt;&gt;"",NOT(ISNUMBER(J214))),IFERROR(MOD(J214,1),1)&gt;0,AND(ISNUMBER(J214),OR(J214&lt;50,J214&gt;20000000))),"Введите целое число от 50 до 20000000",IF(NOT(ABS(IFERROR(VALUE(LEFT(M214,FIND("-",M214)-1)),M214)*100-(2500+2000000000)/2)&lt;=ABS(2500-2000000000)/2),"Цена со скидкой должна быть от 25 до 20000000",IF(IFERROR(VALUE(LEFT(M214,FIND("-",M214)-1)),M214)*180&lt;160000,"Вы уменьшили цену в несколько раз, товар попадет в карантин цен",IF(AND(IFERROR(VALUE(I214),0)=0,ISNUMBER(J214),OR(J214&lt;197,ABS(IFERROR(VALUE(LEFT(M214,FIND("-",M214)-1)),M214))*100&lt;19700)),"Проверьте цену товара. Большинство товаров в выбранной категории стоят дороже 197",""))))),"")</f>
      </c>
    </row>
    <row r="215">
      <c r="A215" s="2" t="inlineStr">
        <is>
          <t>Крымский Хан</t>
        </is>
      </c>
      <c r="B215" s="2" t="inlineStr">
        <is>
          <t>Ложки чайные</t>
        </is>
      </c>
      <c r="C215" s="2">
        <v>560457941</v>
      </c>
      <c r="D215" s="2" t="inlineStr">
        <is>
          <t>wb5o2e18dd</t>
        </is>
      </c>
      <c r="E215" s="2" t="inlineStr">
        <is>
          <t>2046580129470</t>
        </is>
      </c>
      <c r="F215" s="2">
        <v>13</v>
      </c>
      <c r="G215" s="2">
        <v>0</v>
      </c>
      <c r="H215" s="2">
        <v>34</v>
      </c>
      <c r="I215" s="2" t="inlineStr">
        <is>
          <t>1412</t>
        </is>
      </c>
      <c r="J215" s="4"/>
      <c r="K215" s="2">
        <v>20</v>
      </c>
      <c r="L215" s="6"/>
      <c r="M215" s="2" t="str">
        <f>IF(J215="",ROUND(I215*(1-IF(ISBLANK(L215),K215,L215)/100),2),ROUND(J215*(1-IF(ISBLANK(L215),K215,L215)/100),2))</f>
      </c>
      <c r="N215" s="7" t="str">
        <f>IF(NOT(AND(J215="",L215="")),IF(OR(AND(L215&lt;&gt;"",NOT(ISNUMBER(L215))),IFERROR(MOD(L215,1),1)&gt;0,AND(ISNUMBER(L215),OR(L215&lt;0,L215&gt;95))),"Введите целое число от 0 до 95",IF(OR(AND(J215&lt;&gt;"",NOT(ISNUMBER(J215))),IFERROR(MOD(J215,1),1)&gt;0,AND(ISNUMBER(J215),OR(J215&lt;50,J215&gt;20000000))),"Введите целое число от 50 до 20000000",IF(NOT(ABS(IFERROR(VALUE(LEFT(M215,FIND("-",M215)-1)),M215)*100-(2500+2000000000)/2)&lt;=ABS(2500-2000000000)/2),"Цена со скидкой должна быть от 25 до 20000000",IF(IFERROR(VALUE(LEFT(M215,FIND("-",M215)-1)),M215)*220&lt;112960,"Вы уменьшили цену в несколько раз, товар попадет в карантин цен",IF(AND(IFERROR(VALUE(I215),0)=0,ISNUMBER(J215),OR(J215&lt;206,ABS(IFERROR(VALUE(LEFT(M215,FIND("-",M215)-1)),M215))*100&lt;20600)),"Проверьте цену товара. Большинство товаров в выбранной категории стоят дороже 206",""))))),"")</f>
      </c>
    </row>
    <row r="216">
      <c r="A216" s="2" t="inlineStr">
        <is>
          <t>Крымский Хан</t>
        </is>
      </c>
      <c r="B216" s="2" t="inlineStr">
        <is>
          <t>Салфетницы кухонные</t>
        </is>
      </c>
      <c r="C216" s="2">
        <v>262374382</v>
      </c>
      <c r="D216" s="2" t="inlineStr">
        <is>
          <t>древо жизни</t>
        </is>
      </c>
      <c r="E216" s="2" t="inlineStr">
        <is>
          <t>2041241641544</t>
        </is>
      </c>
      <c r="F216" s="2">
        <v>6</v>
      </c>
      <c r="G216" s="2">
        <v>0</v>
      </c>
      <c r="H216" s="2">
        <v>105</v>
      </c>
      <c r="I216" s="2" t="inlineStr">
        <is>
          <t>4000</t>
        </is>
      </c>
      <c r="J216" s="4"/>
      <c r="K216" s="2">
        <v>20</v>
      </c>
      <c r="L216" s="6"/>
      <c r="M216" s="2" t="str">
        <f>IF(J216="",ROUND(I216*(1-IF(ISBLANK(L216),K216,L216)/100),2),ROUND(J216*(1-IF(ISBLANK(L216),K216,L216)/100),2))</f>
      </c>
      <c r="N216" s="7" t="str">
        <f>IF(NOT(AND(J216="",L216="")),IF(OR(AND(L216&lt;&gt;"",NOT(ISNUMBER(L216))),IFERROR(MOD(L216,1),1)&gt;0,AND(ISNUMBER(L216),OR(L216&lt;0,L216&gt;95))),"Введите целое число от 0 до 95",IF(OR(AND(J216&lt;&gt;"",NOT(ISNUMBER(J216))),IFERROR(MOD(J216,1),1)&gt;0,AND(ISNUMBER(J216),OR(J216&lt;50,J216&gt;20000000))),"Введите целое число от 50 до 20000000",IF(NOT(ABS(IFERROR(VALUE(LEFT(M216,FIND("-",M216)-1)),M216)*100-(2500+2000000000)/2)&lt;=ABS(2500-2000000000)/2),"Цена со скидкой должна быть от 25 до 20000000",IF(IFERROR(VALUE(LEFT(M216,FIND("-",M216)-1)),M216)*220&lt;320000,"Вы уменьшили цену в несколько раз, товар попадет в карантин цен",IF(AND(IFERROR(VALUE(I216),0)=0,ISNUMBER(J216),OR(J216&lt;180,ABS(IFERROR(VALUE(LEFT(M216,FIND("-",M216)-1)),M216))*100&lt;18000)),"Проверьте цену товара. Большинство товаров в выбранной категории стоят дороже 180",""))))),"")</f>
      </c>
    </row>
    <row r="217">
      <c r="A217" s="2" t="inlineStr">
        <is>
          <t>Eska Light</t>
        </is>
      </c>
      <c r="B217" s="2" t="inlineStr">
        <is>
          <t>Светильники</t>
        </is>
      </c>
      <c r="C217" s="2">
        <v>98991819</v>
      </c>
      <c r="D217" s="2" t="inlineStr">
        <is>
          <t>орех_улей</t>
        </is>
      </c>
      <c r="E217" s="2" t="inlineStr">
        <is>
          <t>2036793389327</t>
        </is>
      </c>
      <c r="F217" s="2">
        <v>0</v>
      </c>
      <c r="G217" s="2">
        <v>0</v>
      </c>
      <c r="H217" s="2">
        <v>0</v>
      </c>
      <c r="I217" s="2" t="inlineStr">
        <is>
          <t>13412</t>
        </is>
      </c>
      <c r="J217" s="4"/>
      <c r="K217" s="2">
        <v>34</v>
      </c>
      <c r="L217" s="6"/>
      <c r="M217" s="2" t="str">
        <f>IF(J217="",ROUND(I217*(1-IF(ISBLANK(L217),K217,L217)/100),2),ROUND(J217*(1-IF(ISBLANK(L217),K217,L217)/100),2))</f>
      </c>
      <c r="N217" s="7" t="str">
        <f>IF(NOT(AND(J217="",L217="")),IF(OR(AND(L217&lt;&gt;"",NOT(ISNUMBER(L217))),IFERROR(MOD(L217,1),1)&gt;0,AND(ISNUMBER(L217),OR(L217&lt;0,L217&gt;95))),"Введите целое число от 0 до 95",IF(OR(AND(J217&lt;&gt;"",NOT(ISNUMBER(J217))),IFERROR(MOD(J217,1),1)&gt;0,AND(ISNUMBER(J217),OR(J217&lt;50,J217&gt;20000000))),"Введите целое число от 50 до 20000000",IF(NOT(ABS(IFERROR(VALUE(LEFT(M217,FIND("-",M217)-1)),M217)*100-(2500+2000000000)/2)&lt;=ABS(2500-2000000000)/2),"Цена со скидкой должна быть от 25 до 20000000",IF(IFERROR(VALUE(LEFT(M217,FIND("-",M217)-1)),M217)*220&lt;885191,"Вы уменьшили цену в несколько раз, товар попадет в карантин цен",IF(AND(IFERROR(VALUE(I217),0)=0,ISNUMBER(J217),OR(J217&lt;316,ABS(IFERROR(VALUE(LEFT(M217,FIND("-",M217)-1)),M217))*100&lt;31600)),"Проверьте цену товара. Большинство товаров в выбранной категории стоят дороже 316",""))))),"")</f>
      </c>
    </row>
    <row r="218">
      <c r="A218" s="2" t="inlineStr">
        <is>
          <t>Крымский Хан</t>
        </is>
      </c>
      <c r="B218" s="2" t="inlineStr">
        <is>
          <t>Ножи для фигурной резки</t>
        </is>
      </c>
      <c r="C218" s="2">
        <v>32539694</v>
      </c>
      <c r="D218" s="2" t="inlineStr">
        <is>
          <t>GD3133GD3133</t>
        </is>
      </c>
      <c r="E218" s="2" t="inlineStr">
        <is>
          <t>2003804356074</t>
        </is>
      </c>
      <c r="F218" s="2">
        <v>19</v>
      </c>
      <c r="G218" s="2">
        <v>0</v>
      </c>
      <c r="H218" s="2">
        <v>300</v>
      </c>
      <c r="I218" s="2" t="inlineStr">
        <is>
          <t>3177</t>
        </is>
      </c>
      <c r="J218" s="4"/>
      <c r="K218" s="2">
        <v>15</v>
      </c>
      <c r="L218" s="6"/>
      <c r="M218" s="2" t="str">
        <f>IF(J218="",ROUND(I218*(1-IF(ISBLANK(L218),K218,L218)/100),2),ROUND(J218*(1-IF(ISBLANK(L218),K218,L218)/100),2))</f>
      </c>
      <c r="N218" s="7" t="str">
        <f>IF(NOT(AND(J218="",L218="")),IF(OR(AND(L218&lt;&gt;"",NOT(ISNUMBER(L218))),IFERROR(MOD(L218,1),1)&gt;0,AND(ISNUMBER(L218),OR(L218&lt;0,L218&gt;95))),"Введите целое число от 0 до 95",IF(OR(AND(J218&lt;&gt;"",NOT(ISNUMBER(J218))),IFERROR(MOD(J218,1),1)&gt;0,AND(ISNUMBER(J218),OR(J218&lt;50,J218&gt;20000000))),"Введите целое число от 50 до 20000000",IF(NOT(ABS(IFERROR(VALUE(LEFT(M218,FIND("-",M218)-1)),M218)*100-(2500+2000000000)/2)&lt;=ABS(2500-2000000000)/2),"Цена со скидкой должна быть от 25 до 20000000",IF(IFERROR(VALUE(LEFT(M218,FIND("-",M218)-1)),M218)*220&lt;270045,"Вы уменьшили цену в несколько раз, товар попадет в карантин цен",IF(AND(IFERROR(VALUE(I218),0)=0,ISNUMBER(J218),OR(J218&lt;259,ABS(IFERROR(VALUE(LEFT(M218,FIND("-",M218)-1)),M218))*100&lt;25900)),"Проверьте цену товара. Большинство товаров в выбранной категории стоят дороже 259",""))))),"")</f>
      </c>
    </row>
    <row r="219">
      <c r="A219" s="2" t="inlineStr">
        <is>
          <t>Крымский Хан</t>
        </is>
      </c>
      <c r="B219" s="2" t="inlineStr">
        <is>
          <t>Салфетницы интерьерные</t>
        </is>
      </c>
      <c r="C219" s="2">
        <v>200038844</v>
      </c>
      <c r="D219" s="2" t="inlineStr">
        <is>
          <t>салфетница тюльпан</t>
        </is>
      </c>
      <c r="E219" s="2" t="inlineStr">
        <is>
          <t>2039307835211</t>
        </is>
      </c>
      <c r="F219" s="2">
        <v>12</v>
      </c>
      <c r="G219" s="2">
        <v>6</v>
      </c>
      <c r="H219" s="2">
        <v>999</v>
      </c>
      <c r="I219" s="2" t="inlineStr">
        <is>
          <t>4000</t>
        </is>
      </c>
      <c r="J219" s="4"/>
      <c r="K219" s="2">
        <v>20</v>
      </c>
      <c r="L219" s="6"/>
      <c r="M219" s="2" t="str">
        <f>IF(J219="",ROUND(I219*(1-IF(ISBLANK(L219),K219,L219)/100),2),ROUND(J219*(1-IF(ISBLANK(L219),K219,L219)/100),2))</f>
      </c>
      <c r="N219" s="7" t="str">
        <f>IF(NOT(AND(J219="",L219="")),IF(OR(AND(L219&lt;&gt;"",NOT(ISNUMBER(L219))),IFERROR(MOD(L219,1),1)&gt;0,AND(ISNUMBER(L219),OR(L219&lt;0,L219&gt;95))),"Введите целое число от 0 до 95",IF(OR(AND(J219&lt;&gt;"",NOT(ISNUMBER(J219))),IFERROR(MOD(J219,1),1)&gt;0,AND(ISNUMBER(J219),OR(J219&lt;50,J219&gt;20000000))),"Введите целое число от 50 до 20000000",IF(NOT(ABS(IFERROR(VALUE(LEFT(M219,FIND("-",M219)-1)),M219)*100-(2500+2000000000)/2)&lt;=ABS(2500-2000000000)/2),"Цена со скидкой должна быть от 25 до 20000000",IF(IFERROR(VALUE(LEFT(M219,FIND("-",M219)-1)),M219)*200&lt;320000,"Вы уменьшили цену в несколько раз, товар попадет в карантин цен",IF(AND(IFERROR(VALUE(I219),0)=0,ISNUMBER(J219),OR(J219&lt;378,ABS(IFERROR(VALUE(LEFT(M219,FIND("-",M219)-1)),M219))*100&lt;37800)),"Проверьте цену товара. Большинство товаров в выбранной категории стоят дороже 378",""))))),"")</f>
      </c>
    </row>
    <row r="220">
      <c r="A220" s="2" t="inlineStr">
        <is>
          <t>Крымский Хан</t>
        </is>
      </c>
      <c r="B220" s="2" t="inlineStr">
        <is>
          <t>Подставки под горячее</t>
        </is>
      </c>
      <c r="C220" s="2">
        <v>188973697</v>
      </c>
      <c r="D220" s="2" t="inlineStr">
        <is>
          <t>подставка дерево большая</t>
        </is>
      </c>
      <c r="E220" s="2" t="inlineStr">
        <is>
          <t>2038959421308</t>
        </is>
      </c>
      <c r="F220" s="2">
        <v>37</v>
      </c>
      <c r="G220" s="2">
        <v>3</v>
      </c>
      <c r="H220" s="2">
        <v>999</v>
      </c>
      <c r="I220" s="2" t="inlineStr">
        <is>
          <t>2353</t>
        </is>
      </c>
      <c r="J220" s="4"/>
      <c r="K220" s="2">
        <v>31</v>
      </c>
      <c r="L220" s="6"/>
      <c r="M220" s="2" t="str">
        <f>IF(J220="",ROUND(I220*(1-IF(ISBLANK(L220),K220,L220)/100),2),ROUND(J220*(1-IF(ISBLANK(L220),K220,L220)/100),2))</f>
      </c>
      <c r="N220" s="7" t="str">
        <f>IF(NOT(AND(J220="",L220="")),IF(OR(AND(L220&lt;&gt;"",NOT(ISNUMBER(L220))),IFERROR(MOD(L220,1),1)&gt;0,AND(ISNUMBER(L220),OR(L220&lt;0,L220&gt;95))),"Введите целое число от 0 до 95",IF(OR(AND(J220&lt;&gt;"",NOT(ISNUMBER(J220))),IFERROR(MOD(J220,1),1)&gt;0,AND(ISNUMBER(J220),OR(J220&lt;50,J220&gt;20000000))),"Введите целое число от 50 до 20000000",IF(NOT(ABS(IFERROR(VALUE(LEFT(M220,FIND("-",M220)-1)),M220)*100-(2500+2000000000)/2)&lt;=ABS(2500-2000000000)/2),"Цена со скидкой должна быть от 25 до 20000000",IF(IFERROR(VALUE(LEFT(M220,FIND("-",M220)-1)),M220)*220&lt;162357,"Вы уменьшили цену в несколько раз, товар попадет в карантин цен",IF(AND(IFERROR(VALUE(I220),0)=0,ISNUMBER(J220),OR(J220&lt;265,ABS(IFERROR(VALUE(LEFT(M220,FIND("-",M220)-1)),M220))*100&lt;26500)),"Проверьте цену товара. Большинство товаров в выбранной категории стоят дороже 265",""))))),"")</f>
      </c>
    </row>
    <row r="221">
      <c r="A221" s="2" t="inlineStr">
        <is>
          <t>Крымский Хан</t>
        </is>
      </c>
      <c r="B221" s="2" t="inlineStr">
        <is>
          <t>Вилки столовые</t>
        </is>
      </c>
      <c r="C221" s="2">
        <v>37913697</v>
      </c>
      <c r="D221" s="2" t="inlineStr">
        <is>
          <t>KH3005</t>
        </is>
      </c>
      <c r="E221" s="2" t="inlineStr">
        <is>
          <t>2006872449006</t>
        </is>
      </c>
      <c r="F221" s="2">
        <v>108</v>
      </c>
      <c r="G221" s="2">
        <v>0</v>
      </c>
      <c r="H221" s="2">
        <v>245</v>
      </c>
      <c r="I221" s="2" t="inlineStr">
        <is>
          <t>2118</t>
        </is>
      </c>
      <c r="J221" s="4"/>
      <c r="K221" s="2">
        <v>20</v>
      </c>
      <c r="L221" s="6"/>
      <c r="M221" s="2" t="str">
        <f>IF(J221="",ROUND(I221*(1-IF(ISBLANK(L221),K221,L221)/100),2),ROUND(J221*(1-IF(ISBLANK(L221),K221,L221)/100),2))</f>
      </c>
      <c r="N221" s="7" t="str">
        <f>IF(NOT(AND(J221="",L221="")),IF(OR(AND(L221&lt;&gt;"",NOT(ISNUMBER(L221))),IFERROR(MOD(L221,1),1)&gt;0,AND(ISNUMBER(L221),OR(L221&lt;0,L221&gt;95))),"Введите целое число от 0 до 95",IF(OR(AND(J221&lt;&gt;"",NOT(ISNUMBER(J221))),IFERROR(MOD(J221,1),1)&gt;0,AND(ISNUMBER(J221),OR(J221&lt;50,J221&gt;20000000))),"Введите целое число от 50 до 20000000",IF(NOT(ABS(IFERROR(VALUE(LEFT(M221,FIND("-",M221)-1)),M221)*100-(2500+2000000000)/2)&lt;=ABS(2500-2000000000)/2),"Цена со скидкой должна быть от 25 до 20000000",IF(IFERROR(VALUE(LEFT(M221,FIND("-",M221)-1)),M221)*220&lt;169440,"Вы уменьшили цену в несколько раз, товар попадет в карантин цен",IF(AND(IFERROR(VALUE(I221),0)=0,ISNUMBER(J221),OR(J221&lt;217,ABS(IFERROR(VALUE(LEFT(M221,FIND("-",M221)-1)),M221))*100&lt;21700)),"Проверьте цену товара. Большинство товаров в выбранной категории стоят дороже 217",""))))),"")</f>
      </c>
    </row>
    <row r="222">
      <c r="A222" s="2" t="inlineStr">
        <is>
          <t>Крымский Хан</t>
        </is>
      </c>
      <c r="B222" s="2" t="inlineStr">
        <is>
          <t>Рюмки</t>
        </is>
      </c>
      <c r="C222" s="2">
        <v>133979979</v>
      </c>
      <c r="D222" s="2" t="inlineStr">
        <is>
          <t>фаберже</t>
        </is>
      </c>
      <c r="E222" s="2" t="inlineStr">
        <is>
          <t>2037072778665</t>
        </is>
      </c>
      <c r="F222" s="2">
        <v>0</v>
      </c>
      <c r="G222" s="2">
        <v>0</v>
      </c>
      <c r="H222" s="2">
        <v>999</v>
      </c>
      <c r="I222" s="2" t="inlineStr">
        <is>
          <t>3283</t>
        </is>
      </c>
      <c r="J222" s="4"/>
      <c r="K222" s="2">
        <v>5</v>
      </c>
      <c r="L222" s="6"/>
      <c r="M222" s="2" t="str">
        <f>IF(J222="",ROUND(I222*(1-IF(ISBLANK(L222),K222,L222)/100),2),ROUND(J222*(1-IF(ISBLANK(L222),K222,L222)/100),2))</f>
      </c>
      <c r="N222" s="7" t="str">
        <f>IF(NOT(AND(J222="",L222="")),IF(OR(AND(L222&lt;&gt;"",NOT(ISNUMBER(L222))),IFERROR(MOD(L222,1),1)&gt;0,AND(ISNUMBER(L222),OR(L222&lt;0,L222&gt;95))),"Введите целое число от 0 до 95",IF(OR(AND(J222&lt;&gt;"",NOT(ISNUMBER(J222))),IFERROR(MOD(J222,1),1)&gt;0,AND(ISNUMBER(J222),OR(J222&lt;50,J222&gt;20000000))),"Введите целое число от 50 до 20000000",IF(NOT(ABS(IFERROR(VALUE(LEFT(M222,FIND("-",M222)-1)),M222)*100-(2500+2000000000)/2)&lt;=ABS(2500-2000000000)/2),"Цена со скидкой должна быть от 25 до 20000000",IF(IFERROR(VALUE(LEFT(M222,FIND("-",M222)-1)),M222)*220&lt;311885,"Вы уменьшили цену в несколько раз, товар попадет в карантин цен",IF(AND(IFERROR(VALUE(I222),0)=0,ISNUMBER(J222),OR(J222&lt;252,ABS(IFERROR(VALUE(LEFT(M222,FIND("-",M222)-1)),M222))*100&lt;25200)),"Проверьте цену товара. Большинство товаров в выбранной категории стоят дороже 252",""))))),"")</f>
      </c>
    </row>
    <row r="223">
      <c r="A223" s="2" t="inlineStr">
        <is>
          <t>Крымский Хан</t>
        </is>
      </c>
      <c r="B223" s="2" t="inlineStr">
        <is>
          <t>Подстаканники</t>
        </is>
      </c>
      <c r="C223" s="2">
        <v>147750070</v>
      </c>
      <c r="D223" s="2" t="inlineStr">
        <is>
          <t>морской</t>
        </is>
      </c>
      <c r="E223" s="2" t="inlineStr">
        <is>
          <t>2037500914948</t>
        </is>
      </c>
      <c r="F223" s="2">
        <v>0</v>
      </c>
      <c r="G223" s="2">
        <v>0</v>
      </c>
      <c r="H223" s="2">
        <v>1</v>
      </c>
      <c r="I223" s="2" t="inlineStr">
        <is>
          <t>4553</t>
        </is>
      </c>
      <c r="J223" s="4"/>
      <c r="K223" s="2">
        <v>15</v>
      </c>
      <c r="L223" s="6"/>
      <c r="M223" s="2" t="str">
        <f>IF(J223="",ROUND(I223*(1-IF(ISBLANK(L223),K223,L223)/100),2),ROUND(J223*(1-IF(ISBLANK(L223),K223,L223)/100),2))</f>
      </c>
      <c r="N223" s="7" t="str">
        <f>IF(NOT(AND(J223="",L223="")),IF(OR(AND(L223&lt;&gt;"",NOT(ISNUMBER(L223))),IFERROR(MOD(L223,1),1)&gt;0,AND(ISNUMBER(L223),OR(L223&lt;0,L223&gt;95))),"Введите целое число от 0 до 95",IF(OR(AND(J223&lt;&gt;"",NOT(ISNUMBER(J223))),IFERROR(MOD(J223,1),1)&gt;0,AND(ISNUMBER(J223),OR(J223&lt;50,J223&gt;20000000))),"Введите целое число от 50 до 20000000",IF(NOT(ABS(IFERROR(VALUE(LEFT(M223,FIND("-",M223)-1)),M223)*100-(2500+2000000000)/2)&lt;=ABS(2500-2000000000)/2),"Цена со скидкой должна быть от 25 до 20000000",IF(IFERROR(VALUE(LEFT(M223,FIND("-",M223)-1)),M223)*220&lt;387005,"Вы уменьшили цену в несколько раз, товар попадет в карантин цен",IF(AND(IFERROR(VALUE(I223),0)=0,ISNUMBER(J223),OR(J223&lt;209,ABS(IFERROR(VALUE(LEFT(M223,FIND("-",M223)-1)),M223))*100&lt;20900)),"Проверьте цену товара. Большинство товаров в выбранной категории стоят дороже 209",""))))),"")</f>
      </c>
    </row>
    <row r="224">
      <c r="A224" s="2" t="inlineStr">
        <is>
          <t>ZS</t>
        </is>
      </c>
      <c r="B224" s="2" t="inlineStr">
        <is>
          <t>Органайзеры для хранения</t>
        </is>
      </c>
      <c r="C224" s="2">
        <v>53564019</v>
      </c>
      <c r="D224" s="2" t="inlineStr">
        <is>
          <t>G0003белый</t>
        </is>
      </c>
      <c r="E224" s="2" t="inlineStr">
        <is>
          <t>2015304459018</t>
        </is>
      </c>
      <c r="F224" s="2">
        <v>0</v>
      </c>
      <c r="G224" s="2">
        <v>0</v>
      </c>
      <c r="H224" s="2">
        <v>1</v>
      </c>
      <c r="I224" s="2" t="inlineStr">
        <is>
          <t>240</t>
        </is>
      </c>
      <c r="J224" s="4"/>
      <c r="K224" s="2">
        <v>15</v>
      </c>
      <c r="L224" s="6"/>
      <c r="M224" s="2" t="str">
        <f>IF(J224="",ROUND(I224*(1-IF(ISBLANK(L224),K224,L224)/100),2),ROUND(J224*(1-IF(ISBLANK(L224),K224,L224)/100),2))</f>
      </c>
      <c r="N224" s="7" t="str">
        <f>IF(NOT(AND(J224="",L224="")),IF(OR(AND(L224&lt;&gt;"",NOT(ISNUMBER(L224))),IFERROR(MOD(L224,1),1)&gt;0,AND(ISNUMBER(L224),OR(L224&lt;0,L224&gt;95))),"Введите целое число от 0 до 95",IF(OR(AND(J224&lt;&gt;"",NOT(ISNUMBER(J224))),IFERROR(MOD(J224,1),1)&gt;0,AND(ISNUMBER(J224),OR(J224&lt;50,J224&gt;20000000))),"Введите целое число от 50 до 20000000",IF(NOT(ABS(IFERROR(VALUE(LEFT(M224,FIND("-",M224)-1)),M224)*100-(2500+2000000000)/2)&lt;=ABS(2500-2000000000)/2),"Цена со скидкой должна быть от 25 до 20000000",IF(IFERROR(VALUE(LEFT(M224,FIND("-",M224)-1)),M224)*180&lt;20400,"Вы уменьшили цену в несколько раз, товар попадет в карантин цен",IF(AND(IFERROR(VALUE(I224),0)=0,ISNUMBER(J224),OR(J224&lt;239,ABS(IFERROR(VALUE(LEFT(M224,FIND("-",M224)-1)),M224))*100&lt;23900)),"Проверьте цену товара. Большинство товаров в выбранной категории стоят дороже 239",""))))),"")</f>
      </c>
    </row>
    <row r="225">
      <c r="A225" s="2" t="inlineStr">
        <is>
          <t>Крымский Хан</t>
        </is>
      </c>
      <c r="B225" s="2" t="inlineStr">
        <is>
          <t>Ложки десертные</t>
        </is>
      </c>
      <c r="C225" s="2">
        <v>165614621</v>
      </c>
      <c r="D225" s="2" t="inlineStr">
        <is>
          <t>мед</t>
        </is>
      </c>
      <c r="E225" s="2" t="inlineStr">
        <is>
          <t>2038044802432</t>
        </is>
      </c>
      <c r="F225" s="2">
        <v>51</v>
      </c>
      <c r="G225" s="2">
        <v>0</v>
      </c>
      <c r="H225" s="2">
        <v>111</v>
      </c>
      <c r="I225" s="2" t="inlineStr">
        <is>
          <t>1765</t>
        </is>
      </c>
      <c r="J225" s="4"/>
      <c r="K225" s="2">
        <v>15</v>
      </c>
      <c r="L225" s="6"/>
      <c r="M225" s="2" t="str">
        <f>IF(J225="",ROUND(I225*(1-IF(ISBLANK(L225),K225,L225)/100),2),ROUND(J225*(1-IF(ISBLANK(L225),K225,L225)/100),2))</f>
      </c>
      <c r="N225" s="7" t="str">
        <f>IF(NOT(AND(J225="",L225="")),IF(OR(AND(L225&lt;&gt;"",NOT(ISNUMBER(L225))),IFERROR(MOD(L225,1),1)&gt;0,AND(ISNUMBER(L225),OR(L225&lt;0,L225&gt;95))),"Введите целое число от 0 до 95",IF(OR(AND(J225&lt;&gt;"",NOT(ISNUMBER(J225))),IFERROR(MOD(J225,1),1)&gt;0,AND(ISNUMBER(J225),OR(J225&lt;50,J225&gt;20000000))),"Введите целое число от 50 до 20000000",IF(NOT(ABS(IFERROR(VALUE(LEFT(M225,FIND("-",M225)-1)),M225)*100-(2500+2000000000)/2)&lt;=ABS(2500-2000000000)/2),"Цена со скидкой должна быть от 25 до 20000000",IF(IFERROR(VALUE(LEFT(M225,FIND("-",M225)-1)),M225)*220&lt;150025,"Вы уменьшили цену в несколько раз, товар попадет в карантин цен",IF(AND(IFERROR(VALUE(I225),0)=0,ISNUMBER(J225),OR(J225&lt;297,ABS(IFERROR(VALUE(LEFT(M225,FIND("-",M225)-1)),M225))*100&lt;29700)),"Проверьте цену товара. Большинство товаров в выбранной категории стоят дороже 297",""))))),"")</f>
      </c>
    </row>
    <row r="226">
      <c r="A226" s="2" t="inlineStr">
        <is>
          <t>Крымский Хан</t>
        </is>
      </c>
      <c r="B226" s="2" t="inlineStr">
        <is>
          <t>Крючки настенные</t>
        </is>
      </c>
      <c r="C226" s="2">
        <v>163122665</v>
      </c>
      <c r="D226" s="2" t="inlineStr">
        <is>
          <t>крючок роза</t>
        </is>
      </c>
      <c r="E226" s="2" t="inlineStr">
        <is>
          <t>2037914325798</t>
        </is>
      </c>
      <c r="F226" s="2">
        <v>26</v>
      </c>
      <c r="G226" s="2">
        <v>0</v>
      </c>
      <c r="H226" s="2">
        <v>36</v>
      </c>
      <c r="I226" s="2" t="inlineStr">
        <is>
          <t>1059</t>
        </is>
      </c>
      <c r="J226" s="4"/>
      <c r="K226" s="2">
        <v>10</v>
      </c>
      <c r="L226" s="6"/>
      <c r="M226" s="2" t="str">
        <f>IF(J226="",ROUND(I226*(1-IF(ISBLANK(L226),K226,L226)/100),2),ROUND(J226*(1-IF(ISBLANK(L226),K226,L226)/100),2))</f>
      </c>
      <c r="N226" s="7" t="str">
        <f>IF(NOT(AND(J226="",L226="")),IF(OR(AND(L226&lt;&gt;"",NOT(ISNUMBER(L226))),IFERROR(MOD(L226,1),1)&gt;0,AND(ISNUMBER(L226),OR(L226&lt;0,L226&gt;95))),"Введите целое число от 0 до 95",IF(OR(AND(J226&lt;&gt;"",NOT(ISNUMBER(J226))),IFERROR(MOD(J226,1),1)&gt;0,AND(ISNUMBER(J226),OR(J226&lt;50,J226&gt;20000000))),"Введите целое число от 50 до 20000000",IF(NOT(ABS(IFERROR(VALUE(LEFT(M226,FIND("-",M226)-1)),M226)*100-(2500+2000000000)/2)&lt;=ABS(2500-2000000000)/2),"Цена со скидкой должна быть от 25 до 20000000",IF(IFERROR(VALUE(LEFT(M226,FIND("-",M226)-1)),M226)*180&lt;95310,"Вы уменьшили цену в несколько раз, товар попадет в карантин цен",IF(AND(IFERROR(VALUE(I226),0)=0,ISNUMBER(J226),OR(J226&lt;197,ABS(IFERROR(VALUE(LEFT(M226,FIND("-",M226)-1)),M226))*100&lt;19700)),"Проверьте цену товара. Большинство товаров в выбранной категории стоят дороже 197",""))))),"")</f>
      </c>
    </row>
    <row r="227">
      <c r="A227" s="2" t="inlineStr">
        <is>
          <t>Eska Light</t>
        </is>
      </c>
      <c r="B227" s="2" t="inlineStr">
        <is>
          <t>Светильники</t>
        </is>
      </c>
      <c r="C227" s="2">
        <v>98991818</v>
      </c>
      <c r="D227" s="2" t="inlineStr">
        <is>
          <t>орех_шишка</t>
        </is>
      </c>
      <c r="E227" s="2" t="inlineStr">
        <is>
          <t>2036793371742</t>
        </is>
      </c>
      <c r="F227" s="2">
        <v>0</v>
      </c>
      <c r="G227" s="2">
        <v>0</v>
      </c>
      <c r="H227" s="2">
        <v>1</v>
      </c>
      <c r="I227" s="2" t="inlineStr">
        <is>
          <t>13765</t>
        </is>
      </c>
      <c r="J227" s="4"/>
      <c r="K227" s="2">
        <v>15</v>
      </c>
      <c r="L227" s="6"/>
      <c r="M227" s="2" t="str">
        <f>IF(J227="",ROUND(I227*(1-IF(ISBLANK(L227),K227,L227)/100),2),ROUND(J227*(1-IF(ISBLANK(L227),K227,L227)/100),2))</f>
      </c>
      <c r="N227" s="7" t="str">
        <f>IF(NOT(AND(J227="",L227="")),IF(OR(AND(L227&lt;&gt;"",NOT(ISNUMBER(L227))),IFERROR(MOD(L227,1),1)&gt;0,AND(ISNUMBER(L227),OR(L227&lt;0,L227&gt;95))),"Введите целое число от 0 до 95",IF(OR(AND(J227&lt;&gt;"",NOT(ISNUMBER(J227))),IFERROR(MOD(J227,1),1)&gt;0,AND(ISNUMBER(J227),OR(J227&lt;50,J227&gt;20000000))),"Введите целое число от 50 до 20000000",IF(NOT(ABS(IFERROR(VALUE(LEFT(M227,FIND("-",M227)-1)),M227)*100-(2500+2000000000)/2)&lt;=ABS(2500-2000000000)/2),"Цена со скидкой должна быть от 25 до 20000000",IF(IFERROR(VALUE(LEFT(M227,FIND("-",M227)-1)),M227)*220&lt;1170025,"Вы уменьшили цену в несколько раз, товар попадет в карантин цен",IF(AND(IFERROR(VALUE(I227),0)=0,ISNUMBER(J227),OR(J227&lt;316,ABS(IFERROR(VALUE(LEFT(M227,FIND("-",M227)-1)),M227))*100&lt;31600)),"Проверьте цену товара. Большинство товаров в выбранной категории стоят дороже 316",""))))),"")</f>
      </c>
    </row>
    <row r="228">
      <c r="A228" s="2" t="inlineStr">
        <is>
          <t/>
        </is>
      </c>
      <c r="B228" s="2" t="inlineStr">
        <is>
          <t>Подставки для благовоний</t>
        </is>
      </c>
      <c r="C228" s="2">
        <v>983546132</v>
      </c>
      <c r="D228" s="2" t="inlineStr">
        <is>
          <t>wb5mvcxwga</t>
        </is>
      </c>
      <c r="E228" s="2" t="inlineStr">
        <is>
          <t>2050706294171</t>
        </is>
      </c>
      <c r="F228" s="2">
        <v>9</v>
      </c>
      <c r="G228" s="2">
        <v>0</v>
      </c>
      <c r="H228" s="2">
        <v>999</v>
      </c>
      <c r="I228" s="2" t="inlineStr">
        <is>
          <t>3000</t>
        </is>
      </c>
      <c r="J228" s="4"/>
      <c r="K228" s="2">
        <v>0</v>
      </c>
      <c r="L228" s="6"/>
      <c r="M228" s="2" t="str">
        <f>IF(J228="",ROUND(I228*(1-IF(ISBLANK(L228),K228,L228)/100),2),ROUND(J228*(1-IF(ISBLANK(L228),K228,L228)/100),2))</f>
      </c>
      <c r="N228" s="7" t="str">
        <f>IF(NOT(AND(J228="",L228="")),IF(OR(AND(L228&lt;&gt;"",NOT(ISNUMBER(L228))),IFERROR(MOD(L228,1),1)&gt;0,AND(ISNUMBER(L228),OR(L228&lt;0,L228&gt;95))),"Введите целое число от 0 до 95",IF(OR(AND(J228&lt;&gt;"",NOT(ISNUMBER(J228))),IFERROR(MOD(J228,1),1)&gt;0,AND(ISNUMBER(J228),OR(J228&lt;50,J228&gt;20000000))),"Введите целое число от 50 до 20000000",IF(NOT(ABS(IFERROR(VALUE(LEFT(M228,FIND("-",M228)-1)),M228)*100-(2500+2000000000)/2)&lt;=ABS(2500-2000000000)/2),"Цена со скидкой должна быть от 25 до 20000000",IF(IFERROR(VALUE(LEFT(M228,FIND("-",M228)-1)),M228)*200&lt;300000,"Вы уменьшили цену в несколько раз, товар попадет в карантин цен",IF(AND(IFERROR(VALUE(I228),0)=0,ISNUMBER(J228),OR(J228&lt;363,ABS(IFERROR(VALUE(LEFT(M228,FIND("-",M228)-1)),M228))*100&lt;36300)),"Проверьте цену товара. Большинство товаров в выбранной категории стоят дороже 363",""))))),"")</f>
      </c>
    </row>
    <row r="229">
      <c r="A229" s="2" t="inlineStr">
        <is>
          <t/>
        </is>
      </c>
      <c r="B229" s="2" t="inlineStr">
        <is>
          <t>Фигурки и статуэтки</t>
        </is>
      </c>
      <c r="C229" s="2">
        <v>304802903</v>
      </c>
      <c r="D229" s="2" t="inlineStr">
        <is>
          <t>калла</t>
        </is>
      </c>
      <c r="E229" s="2" t="inlineStr">
        <is>
          <t>2042311198715</t>
        </is>
      </c>
      <c r="F229" s="2">
        <v>92</v>
      </c>
      <c r="G229" s="2">
        <v>0</v>
      </c>
      <c r="H229" s="2">
        <v>58</v>
      </c>
      <c r="I229" s="2" t="inlineStr">
        <is>
          <t>2000</t>
        </is>
      </c>
      <c r="J229" s="4"/>
      <c r="K229" s="2">
        <v>20</v>
      </c>
      <c r="L229" s="6"/>
      <c r="M229" s="2" t="str">
        <f>IF(J229="",ROUND(I229*(1-IF(ISBLANK(L229),K229,L229)/100),2),ROUND(J229*(1-IF(ISBLANK(L229),K229,L229)/100),2))</f>
      </c>
      <c r="N229" s="7" t="str">
        <f>IF(NOT(AND(J229="",L229="")),IF(OR(AND(L229&lt;&gt;"",NOT(ISNUMBER(L229))),IFERROR(MOD(L229,1),1)&gt;0,AND(ISNUMBER(L229),OR(L229&lt;0,L229&gt;95))),"Введите целое число от 0 до 95",IF(OR(AND(J229&lt;&gt;"",NOT(ISNUMBER(J229))),IFERROR(MOD(J229,1),1)&gt;0,AND(ISNUMBER(J229),OR(J229&lt;50,J229&gt;20000000))),"Введите целое число от 50 до 20000000",IF(NOT(ABS(IFERROR(VALUE(LEFT(M229,FIND("-",M229)-1)),M229)*100-(2500+2000000000)/2)&lt;=ABS(2500-2000000000)/2),"Цена со скидкой должна быть от 25 до 20000000",IF(IFERROR(VALUE(LEFT(M229,FIND("-",M229)-1)),M229)*200&lt;160000,"Вы уменьшили цену в несколько раз, товар попадет в карантин цен",IF(AND(IFERROR(VALUE(I229),0)=0,ISNUMBER(J229),OR(J229&lt;193,ABS(IFERROR(VALUE(LEFT(M229,FIND("-",M229)-1)),M229))*100&lt;19300)),"Проверьте цену товара. Большинство товаров в выбранной категории стоят дороже 193",""))))),"")</f>
      </c>
    </row>
    <row r="230">
      <c r="A230" s="2" t="inlineStr">
        <is>
          <t>Крымский Хан</t>
        </is>
      </c>
      <c r="B230" s="2" t="inlineStr">
        <is>
          <t>Колпачки для тушения свеч</t>
        </is>
      </c>
      <c r="C230" s="2">
        <v>160147946</v>
      </c>
      <c r="D230" s="2" t="inlineStr">
        <is>
          <t>гаситель 1</t>
        </is>
      </c>
      <c r="E230" s="2" t="inlineStr">
        <is>
          <t>2037798341341</t>
        </is>
      </c>
      <c r="F230" s="2">
        <v>54</v>
      </c>
      <c r="G230" s="2">
        <v>23</v>
      </c>
      <c r="H230" s="2">
        <v>20</v>
      </c>
      <c r="I230" s="2" t="inlineStr">
        <is>
          <t>1177</t>
        </is>
      </c>
      <c r="J230" s="4"/>
      <c r="K230" s="2">
        <v>10</v>
      </c>
      <c r="L230" s="6"/>
      <c r="M230" s="2" t="str">
        <f>IF(J230="",ROUND(I230*(1-IF(ISBLANK(L230),K230,L230)/100),2),ROUND(J230*(1-IF(ISBLANK(L230),K230,L230)/100),2))</f>
      </c>
      <c r="N230" s="7" t="str">
        <f>IF(NOT(AND(J230="",L230="")),IF(OR(AND(L230&lt;&gt;"",NOT(ISNUMBER(L230))),IFERROR(MOD(L230,1),1)&gt;0,AND(ISNUMBER(L230),OR(L230&lt;0,L230&gt;95))),"Введите целое число от 0 до 95",IF(OR(AND(J230&lt;&gt;"",NOT(ISNUMBER(J230))),IFERROR(MOD(J230,1),1)&gt;0,AND(ISNUMBER(J230),OR(J230&lt;50,J230&gt;20000000))),"Введите целое число от 50 до 20000000",IF(NOT(ABS(IFERROR(VALUE(LEFT(M230,FIND("-",M230)-1)),M230)*100-(2500+2000000000)/2)&lt;=ABS(2500-2000000000)/2),"Цена со скидкой должна быть от 25 до 20000000",IF(IFERROR(VALUE(LEFT(M230,FIND("-",M230)-1)),M230)*200&lt;105930,"Вы уменьшили цену в несколько раз, товар попадет в карантин цен",IF(AND(IFERROR(VALUE(I230),0)=0,ISNUMBER(J230),OR(J230&lt;257,ABS(IFERROR(VALUE(LEFT(M230,FIND("-",M230)-1)),M230))*100&lt;25700)),"Проверьте цену товара. Большинство товаров в выбранной категории стоят дороже 257",""))))),"")</f>
      </c>
    </row>
    <row r="231">
      <c r="A231" s="2" t="inlineStr">
        <is>
          <t>Крымский Хан</t>
        </is>
      </c>
      <c r="B231" s="2" t="inlineStr">
        <is>
          <t>Ложки поварские</t>
        </is>
      </c>
      <c r="C231" s="2">
        <v>67932870</v>
      </c>
      <c r="D231" s="2" t="inlineStr">
        <is>
          <t>v2104v2104</t>
        </is>
      </c>
      <c r="E231" s="2" t="inlineStr">
        <is>
          <t>2022712690001</t>
        </is>
      </c>
      <c r="F231" s="2">
        <v>68</v>
      </c>
      <c r="G231" s="2">
        <v>0</v>
      </c>
      <c r="H231" s="2">
        <v>999</v>
      </c>
      <c r="I231" s="2" t="inlineStr">
        <is>
          <t>1765</t>
        </is>
      </c>
      <c r="J231" s="4"/>
      <c r="K231" s="2">
        <v>15</v>
      </c>
      <c r="L231" s="6"/>
      <c r="M231" s="2" t="str">
        <f>IF(J231="",ROUND(I231*(1-IF(ISBLANK(L231),K231,L231)/100),2),ROUND(J231*(1-IF(ISBLANK(L231),K231,L231)/100),2))</f>
      </c>
      <c r="N231" s="7" t="str">
        <f>IF(NOT(AND(J231="",L231="")),IF(OR(AND(L231&lt;&gt;"",NOT(ISNUMBER(L231))),IFERROR(MOD(L231,1),1)&gt;0,AND(ISNUMBER(L231),OR(L231&lt;0,L231&gt;95))),"Введите целое число от 0 до 95",IF(OR(AND(J231&lt;&gt;"",NOT(ISNUMBER(J231))),IFERROR(MOD(J231,1),1)&gt;0,AND(ISNUMBER(J231),OR(J231&lt;50,J231&gt;20000000))),"Введите целое число от 50 до 20000000",IF(NOT(ABS(IFERROR(VALUE(LEFT(M231,FIND("-",M231)-1)),M231)*100-(2500+2000000000)/2)&lt;=ABS(2500-2000000000)/2),"Цена со скидкой должна быть от 25 до 20000000",IF(IFERROR(VALUE(LEFT(M231,FIND("-",M231)-1)),M231)*220&lt;150025,"Вы уменьшили цену в несколько раз, товар попадет в карантин цен",IF(AND(IFERROR(VALUE(I231),0)=0,ISNUMBER(J231),OR(J231&lt;230,ABS(IFERROR(VALUE(LEFT(M231,FIND("-",M231)-1)),M231))*100&lt;23000)),"Проверьте цену товара. Большинство товаров в выбранной категории стоят дороже 230",""))))),"")</f>
      </c>
    </row>
    <row r="232">
      <c r="A232" s="2" t="inlineStr">
        <is>
          <t>Крымский Хан</t>
        </is>
      </c>
      <c r="B232" s="2" t="inlineStr">
        <is>
          <t>Ложки чайные</t>
        </is>
      </c>
      <c r="C232" s="2">
        <v>122425370</v>
      </c>
      <c r="D232" s="2" t="inlineStr">
        <is>
          <t>самаркандмини</t>
        </is>
      </c>
      <c r="E232" s="2" t="inlineStr">
        <is>
          <t>2036953553025</t>
        </is>
      </c>
      <c r="F232" s="2">
        <v>62</v>
      </c>
      <c r="G232" s="2">
        <v>0</v>
      </c>
      <c r="H232" s="2">
        <v>87</v>
      </c>
      <c r="I232" s="2" t="inlineStr">
        <is>
          <t>1824</t>
        </is>
      </c>
      <c r="J232" s="4"/>
      <c r="K232" s="2">
        <v>17</v>
      </c>
      <c r="L232" s="6"/>
      <c r="M232" s="2" t="str">
        <f>IF(J232="",ROUND(I232*(1-IF(ISBLANK(L232),K232,L232)/100),2),ROUND(J232*(1-IF(ISBLANK(L232),K232,L232)/100),2))</f>
      </c>
      <c r="N232" s="7" t="str">
        <f>IF(NOT(AND(J232="",L232="")),IF(OR(AND(L232&lt;&gt;"",NOT(ISNUMBER(L232))),IFERROR(MOD(L232,1),1)&gt;0,AND(ISNUMBER(L232),OR(L232&lt;0,L232&gt;95))),"Введите целое число от 0 до 95",IF(OR(AND(J232&lt;&gt;"",NOT(ISNUMBER(J232))),IFERROR(MOD(J232,1),1)&gt;0,AND(ISNUMBER(J232),OR(J232&lt;50,J232&gt;20000000))),"Введите целое число от 50 до 20000000",IF(NOT(ABS(IFERROR(VALUE(LEFT(M232,FIND("-",M232)-1)),M232)*100-(2500+2000000000)/2)&lt;=ABS(2500-2000000000)/2),"Цена со скидкой должна быть от 25 до 20000000",IF(IFERROR(VALUE(LEFT(M232,FIND("-",M232)-1)),M232)*220&lt;151391,"Вы уменьшили цену в несколько раз, товар попадет в карантин цен",IF(AND(IFERROR(VALUE(I232),0)=0,ISNUMBER(J232),OR(J232&lt;206,ABS(IFERROR(VALUE(LEFT(M232,FIND("-",M232)-1)),M232))*100&lt;20600)),"Проверьте цену товара. Большинство товаров в выбранной категории стоят дороже 206",""))))),"")</f>
      </c>
    </row>
    <row r="233">
      <c r="A233" s="2" t="inlineStr">
        <is>
          <t>Крымский Хан</t>
        </is>
      </c>
      <c r="B233" s="2" t="inlineStr">
        <is>
          <t>Сервизы столовые</t>
        </is>
      </c>
      <c r="C233" s="2">
        <v>147750176</v>
      </c>
      <c r="D233" s="2" t="inlineStr">
        <is>
          <t>кофейная пара</t>
        </is>
      </c>
      <c r="E233" s="2" t="inlineStr">
        <is>
          <t>2037500937404</t>
        </is>
      </c>
      <c r="F233" s="2">
        <v>12</v>
      </c>
      <c r="G233" s="2">
        <v>0</v>
      </c>
      <c r="H233" s="2">
        <v>179</v>
      </c>
      <c r="I233" s="2" t="inlineStr">
        <is>
          <t>4330</t>
        </is>
      </c>
      <c r="J233" s="4"/>
      <c r="K233" s="2">
        <v>25</v>
      </c>
      <c r="L233" s="6"/>
      <c r="M233" s="2" t="str">
        <f>IF(J233="",ROUND(I233*(1-IF(ISBLANK(L233),K233,L233)/100),2),ROUND(J233*(1-IF(ISBLANK(L233),K233,L233)/100),2))</f>
      </c>
      <c r="N233" s="7" t="str">
        <f>IF(NOT(AND(J233="",L233="")),IF(OR(AND(L233&lt;&gt;"",NOT(ISNUMBER(L233))),IFERROR(MOD(L233,1),1)&gt;0,AND(ISNUMBER(L233),OR(L233&lt;0,L233&gt;95))),"Введите целое число от 0 до 95",IF(OR(AND(J233&lt;&gt;"",NOT(ISNUMBER(J233))),IFERROR(MOD(J233,1),1)&gt;0,AND(ISNUMBER(J233),OR(J233&lt;50,J233&gt;20000000))),"Введите целое число от 50 до 20000000",IF(NOT(ABS(IFERROR(VALUE(LEFT(M233,FIND("-",M233)-1)),M233)*100-(2500+2000000000)/2)&lt;=ABS(2500-2000000000)/2),"Цена со скидкой должна быть от 25 до 20000000",IF(IFERROR(VALUE(LEFT(M233,FIND("-",M233)-1)),M233)*220&lt;324750,"Вы уменьшили цену в несколько раз, товар попадет в карантин цен",IF(AND(IFERROR(VALUE(I233),0)=0,ISNUMBER(J233),OR(J233&lt;414,ABS(IFERROR(VALUE(LEFT(M233,FIND("-",M233)-1)),M233))*100&lt;41400)),"Проверьте цену товара. Большинство товаров в выбранной категории стоят дороже 414",""))))),"")</f>
      </c>
    </row>
    <row r="234">
      <c r="A234" s="2" t="inlineStr">
        <is>
          <t>Крымский Хан</t>
        </is>
      </c>
      <c r="B234" s="2" t="inlineStr">
        <is>
          <t>Ложки кофейные</t>
        </is>
      </c>
      <c r="C234" s="2">
        <v>51468996</v>
      </c>
      <c r="D234" s="2" t="inlineStr">
        <is>
          <t>KH3499KH3499</t>
        </is>
      </c>
      <c r="E234" s="2" t="inlineStr">
        <is>
          <t>2014471341003</t>
        </is>
      </c>
      <c r="F234" s="2">
        <v>100</v>
      </c>
      <c r="G234" s="2">
        <v>36</v>
      </c>
      <c r="H234" s="2">
        <v>999</v>
      </c>
      <c r="I234" s="2" t="inlineStr">
        <is>
          <t>1765</t>
        </is>
      </c>
      <c r="J234" s="4"/>
      <c r="K234" s="2">
        <v>15</v>
      </c>
      <c r="L234" s="6"/>
      <c r="M234" s="2" t="str">
        <f>IF(J234="",ROUND(I234*(1-IF(ISBLANK(L234),K234,L234)/100),2),ROUND(J234*(1-IF(ISBLANK(L234),K234,L234)/100),2))</f>
      </c>
      <c r="N234" s="7" t="str">
        <f>IF(NOT(AND(J234="",L234="")),IF(OR(AND(L234&lt;&gt;"",NOT(ISNUMBER(L234))),IFERROR(MOD(L234,1),1)&gt;0,AND(ISNUMBER(L234),OR(L234&lt;0,L234&gt;95))),"Введите целое число от 0 до 95",IF(OR(AND(J234&lt;&gt;"",NOT(ISNUMBER(J234))),IFERROR(MOD(J234,1),1)&gt;0,AND(ISNUMBER(J234),OR(J234&lt;50,J234&gt;20000000))),"Введите целое число от 50 до 20000000",IF(NOT(ABS(IFERROR(VALUE(LEFT(M234,FIND("-",M234)-1)),M234)*100-(2500+2000000000)/2)&lt;=ABS(2500-2000000000)/2),"Цена со скидкой должна быть от 25 до 20000000",IF(IFERROR(VALUE(LEFT(M234,FIND("-",M234)-1)),M234)*220&lt;150025,"Вы уменьшили цену в несколько раз, товар попадет в карантин цен",IF(AND(IFERROR(VALUE(I234),0)=0,ISNUMBER(J234),OR(J234&lt;246,ABS(IFERROR(VALUE(LEFT(M234,FIND("-",M234)-1)),M234))*100&lt;24600)),"Проверьте цену товара. Большинство товаров в выбранной категории стоят дороже 246",""))))),"")</f>
      </c>
    </row>
    <row r="235">
      <c r="A235" s="2" t="inlineStr">
        <is>
          <t/>
        </is>
      </c>
      <c r="B235" s="2" t="inlineStr">
        <is>
          <t>Фигурки и статуэтки</t>
        </is>
      </c>
      <c r="C235" s="2">
        <v>936696085</v>
      </c>
      <c r="D235" s="2" t="inlineStr">
        <is>
          <t>wb379h6pay</t>
        </is>
      </c>
      <c r="E235" s="2" t="inlineStr">
        <is>
          <t>2050175620099</t>
        </is>
      </c>
      <c r="F235" s="2">
        <v>30</v>
      </c>
      <c r="G235" s="2">
        <v>0</v>
      </c>
      <c r="H235" s="2">
        <v>999</v>
      </c>
      <c r="I235" s="2" t="inlineStr">
        <is>
          <t>2500</t>
        </is>
      </c>
      <c r="J235" s="4"/>
      <c r="K235" s="2">
        <v>0</v>
      </c>
      <c r="L235" s="6"/>
      <c r="M235" s="2" t="str">
        <f>IF(J235="",ROUND(I235*(1-IF(ISBLANK(L235),K235,L235)/100),2),ROUND(J235*(1-IF(ISBLANK(L235),K235,L235)/100),2))</f>
      </c>
      <c r="N235" s="7" t="str">
        <f>IF(NOT(AND(J235="",L235="")),IF(OR(AND(L235&lt;&gt;"",NOT(ISNUMBER(L235))),IFERROR(MOD(L235,1),1)&gt;0,AND(ISNUMBER(L235),OR(L235&lt;0,L235&gt;95))),"Введите целое число от 0 до 95",IF(OR(AND(J235&lt;&gt;"",NOT(ISNUMBER(J235))),IFERROR(MOD(J235,1),1)&gt;0,AND(ISNUMBER(J235),OR(J235&lt;50,J235&gt;20000000))),"Введите целое число от 50 до 20000000",IF(NOT(ABS(IFERROR(VALUE(LEFT(M235,FIND("-",M235)-1)),M235)*100-(2500+2000000000)/2)&lt;=ABS(2500-2000000000)/2),"Цена со скидкой должна быть от 25 до 20000000",IF(IFERROR(VALUE(LEFT(M235,FIND("-",M235)-1)),M235)*200&lt;250000,"Вы уменьшили цену в несколько раз, товар попадет в карантин цен",IF(AND(IFERROR(VALUE(I235),0)=0,ISNUMBER(J235),OR(J235&lt;193,ABS(IFERROR(VALUE(LEFT(M235,FIND("-",M235)-1)),M235))*100&lt;19300)),"Проверьте цену товара. Большинство товаров в выбранной категории стоят дороже 193",""))))),"")</f>
      </c>
    </row>
    <row r="236">
      <c r="A236" s="2" t="inlineStr">
        <is>
          <t>Крымский Хан</t>
        </is>
      </c>
      <c r="B236" s="2" t="inlineStr">
        <is>
          <t>Рюмки</t>
        </is>
      </c>
      <c r="C236" s="2">
        <v>133980206</v>
      </c>
      <c r="D236" s="2" t="inlineStr">
        <is>
          <t>рюмка без ножки</t>
        </is>
      </c>
      <c r="E236" s="2" t="inlineStr">
        <is>
          <t>2037072783799</t>
        </is>
      </c>
      <c r="F236" s="2">
        <v>0</v>
      </c>
      <c r="G236" s="2">
        <v>0</v>
      </c>
      <c r="H236" s="2">
        <v>1</v>
      </c>
      <c r="I236" s="2" t="inlineStr">
        <is>
          <t>3389</t>
        </is>
      </c>
      <c r="J236" s="4"/>
      <c r="K236" s="2">
        <v>15</v>
      </c>
      <c r="L236" s="6"/>
      <c r="M236" s="2" t="str">
        <f>IF(J236="",ROUND(I236*(1-IF(ISBLANK(L236),K236,L236)/100),2),ROUND(J236*(1-IF(ISBLANK(L236),K236,L236)/100),2))</f>
      </c>
      <c r="N236" s="7" t="str">
        <f>IF(NOT(AND(J236="",L236="")),IF(OR(AND(L236&lt;&gt;"",NOT(ISNUMBER(L236))),IFERROR(MOD(L236,1),1)&gt;0,AND(ISNUMBER(L236),OR(L236&lt;0,L236&gt;95))),"Введите целое число от 0 до 95",IF(OR(AND(J236&lt;&gt;"",NOT(ISNUMBER(J236))),IFERROR(MOD(J236,1),1)&gt;0,AND(ISNUMBER(J236),OR(J236&lt;50,J236&gt;20000000))),"Введите целое число от 50 до 20000000",IF(NOT(ABS(IFERROR(VALUE(LEFT(M236,FIND("-",M236)-1)),M236)*100-(2500+2000000000)/2)&lt;=ABS(2500-2000000000)/2),"Цена со скидкой должна быть от 25 до 20000000",IF(IFERROR(VALUE(LEFT(M236,FIND("-",M236)-1)),M236)*220&lt;288065,"Вы уменьшили цену в несколько раз, товар попадет в карантин цен",IF(AND(IFERROR(VALUE(I236),0)=0,ISNUMBER(J236),OR(J236&lt;252,ABS(IFERROR(VALUE(LEFT(M236,FIND("-",M236)-1)),M236))*100&lt;25200)),"Проверьте цену товара. Большинство товаров в выбранной категории стоят дороже 252",""))))),"")</f>
      </c>
    </row>
    <row r="237">
      <c r="A237" s="2" t="inlineStr">
        <is>
          <t>Крымский Хан</t>
        </is>
      </c>
      <c r="B237" s="2" t="inlineStr">
        <is>
          <t>Подсвечники</t>
        </is>
      </c>
      <c r="C237" s="2">
        <v>188977249</v>
      </c>
      <c r="D237" s="2" t="inlineStr">
        <is>
          <t>тиара</t>
        </is>
      </c>
      <c r="E237" s="2" t="inlineStr">
        <is>
          <t>2038959586434</t>
        </is>
      </c>
      <c r="F237" s="2">
        <v>9</v>
      </c>
      <c r="G237" s="2">
        <v>0</v>
      </c>
      <c r="H237" s="2">
        <v>999</v>
      </c>
      <c r="I237" s="2" t="inlineStr">
        <is>
          <t>1883</t>
        </is>
      </c>
      <c r="J237" s="4"/>
      <c r="K237" s="2">
        <v>21</v>
      </c>
      <c r="L237" s="6"/>
      <c r="M237" s="2" t="str">
        <f>IF(J237="",ROUND(I237*(1-IF(ISBLANK(L237),K237,L237)/100),2),ROUND(J237*(1-IF(ISBLANK(L237),K237,L237)/100),2))</f>
      </c>
      <c r="N237" s="7" t="str">
        <f>IF(NOT(AND(J237="",L237="")),IF(OR(AND(L237&lt;&gt;"",NOT(ISNUMBER(L237))),IFERROR(MOD(L237,1),1)&gt;0,AND(ISNUMBER(L237),OR(L237&lt;0,L237&gt;95))),"Введите целое число от 0 до 95",IF(OR(AND(J237&lt;&gt;"",NOT(ISNUMBER(J237))),IFERROR(MOD(J237,1),1)&gt;0,AND(ISNUMBER(J237),OR(J237&lt;50,J237&gt;20000000))),"Введите целое число от 50 до 20000000",IF(NOT(ABS(IFERROR(VALUE(LEFT(M237,FIND("-",M237)-1)),M237)*100-(2500+2000000000)/2)&lt;=ABS(2500-2000000000)/2),"Цена со скидкой должна быть от 25 до 20000000",IF(IFERROR(VALUE(LEFT(M237,FIND("-",M237)-1)),M237)*200&lt;148757,"Вы уменьшили цену в несколько раз, товар попадет в карантин цен",IF(AND(IFERROR(VALUE(I237),0)=0,ISNUMBER(J237),OR(J237&lt;356,ABS(IFERROR(VALUE(LEFT(M237,FIND("-",M237)-1)),M237))*100&lt;35600)),"Проверьте цену товара. Большинство товаров в выбранной категории стоят дороже 356",""))))),"")</f>
      </c>
    </row>
    <row r="238">
      <c r="A238" s="2" t="inlineStr">
        <is>
          <t/>
        </is>
      </c>
      <c r="B238" s="2" t="inlineStr">
        <is>
          <t>Фигурки и статуэтки</t>
        </is>
      </c>
      <c r="C238" s="2">
        <v>298016976</v>
      </c>
      <c r="D238" s="2" t="inlineStr">
        <is>
          <t>ваза</t>
        </is>
      </c>
      <c r="E238" s="2" t="inlineStr">
        <is>
          <t>2042153292978</t>
        </is>
      </c>
      <c r="F238" s="2">
        <v>107</v>
      </c>
      <c r="G238" s="2">
        <v>35</v>
      </c>
      <c r="H238" s="2">
        <v>32</v>
      </c>
      <c r="I238" s="2" t="inlineStr">
        <is>
          <t>2648</t>
        </is>
      </c>
      <c r="J238" s="4"/>
      <c r="K238" s="2">
        <v>5</v>
      </c>
      <c r="L238" s="6"/>
      <c r="M238" s="2" t="str">
        <f>IF(J238="",ROUND(I238*(1-IF(ISBLANK(L238),K238,L238)/100),2),ROUND(J238*(1-IF(ISBLANK(L238),K238,L238)/100),2))</f>
      </c>
      <c r="N238" s="7" t="str">
        <f>IF(NOT(AND(J238="",L238="")),IF(OR(AND(L238&lt;&gt;"",NOT(ISNUMBER(L238))),IFERROR(MOD(L238,1),1)&gt;0,AND(ISNUMBER(L238),OR(L238&lt;0,L238&gt;95))),"Введите целое число от 0 до 95",IF(OR(AND(J238&lt;&gt;"",NOT(ISNUMBER(J238))),IFERROR(MOD(J238,1),1)&gt;0,AND(ISNUMBER(J238),OR(J238&lt;50,J238&gt;20000000))),"Введите целое число от 50 до 20000000",IF(NOT(ABS(IFERROR(VALUE(LEFT(M238,FIND("-",M238)-1)),M238)*100-(2500+2000000000)/2)&lt;=ABS(2500-2000000000)/2),"Цена со скидкой должна быть от 25 до 20000000",IF(IFERROR(VALUE(LEFT(M238,FIND("-",M238)-1)),M238)*200&lt;251560,"Вы уменьшили цену в несколько раз, товар попадет в карантин цен",IF(AND(IFERROR(VALUE(I238),0)=0,ISNUMBER(J238),OR(J238&lt;193,ABS(IFERROR(VALUE(LEFT(M238,FIND("-",M238)-1)),M238))*100&lt;19300)),"Проверьте цену товара. Большинство товаров в выбранной категории стоят дороже 193",""))))),"")</f>
      </c>
    </row>
    <row r="239">
      <c r="A239" s="2" t="inlineStr">
        <is>
          <t>Крымский Хан</t>
        </is>
      </c>
      <c r="B239" s="2" t="inlineStr">
        <is>
          <t>Ложки чайные</t>
        </is>
      </c>
      <c r="C239" s="2">
        <v>67932871</v>
      </c>
      <c r="D239" s="2" t="inlineStr">
        <is>
          <t>v2103v2103</t>
        </is>
      </c>
      <c r="E239" s="2" t="inlineStr">
        <is>
          <t>2022711850000</t>
        </is>
      </c>
      <c r="F239" s="2">
        <v>0</v>
      </c>
      <c r="G239" s="2">
        <v>0</v>
      </c>
      <c r="H239" s="2">
        <v>0</v>
      </c>
      <c r="I239" s="2" t="inlineStr">
        <is>
          <t>883</t>
        </is>
      </c>
      <c r="J239" s="4"/>
      <c r="K239" s="2">
        <v>15</v>
      </c>
      <c r="L239" s="6"/>
      <c r="M239" s="2" t="str">
        <f>IF(J239="",ROUND(I239*(1-IF(ISBLANK(L239),K239,L239)/100),2),ROUND(J239*(1-IF(ISBLANK(L239),K239,L239)/100),2))</f>
      </c>
      <c r="N239" s="7" t="str">
        <f>IF(NOT(AND(J239="",L239="")),IF(OR(AND(L239&lt;&gt;"",NOT(ISNUMBER(L239))),IFERROR(MOD(L239,1),1)&gt;0,AND(ISNUMBER(L239),OR(L239&lt;0,L239&gt;95))),"Введите целое число от 0 до 95",IF(OR(AND(J239&lt;&gt;"",NOT(ISNUMBER(J239))),IFERROR(MOD(J239,1),1)&gt;0,AND(ISNUMBER(J239),OR(J239&lt;50,J239&gt;20000000))),"Введите целое число от 50 до 20000000",IF(NOT(ABS(IFERROR(VALUE(LEFT(M239,FIND("-",M239)-1)),M239)*100-(2500+2000000000)/2)&lt;=ABS(2500-2000000000)/2),"Цена со скидкой должна быть от 25 до 20000000",IF(IFERROR(VALUE(LEFT(M239,FIND("-",M239)-1)),M239)*220&lt;75055,"Вы уменьшили цену в несколько раз, товар попадет в карантин цен",IF(AND(IFERROR(VALUE(I239),0)=0,ISNUMBER(J239),OR(J239&lt;206,ABS(IFERROR(VALUE(LEFT(M239,FIND("-",M239)-1)),M239))*100&lt;20600)),"Проверьте цену товара. Большинство товаров в выбранной категории стоят дороже 206",""))))),"")</f>
      </c>
    </row>
    <row r="240">
      <c r="A240" s="2" t="inlineStr">
        <is>
          <t>Крымский Хан</t>
        </is>
      </c>
      <c r="B240" s="2" t="inlineStr">
        <is>
          <t>Щипцы кухонные</t>
        </is>
      </c>
      <c r="C240" s="2">
        <v>67932431</v>
      </c>
      <c r="D240" s="2" t="inlineStr">
        <is>
          <t>v2101v2101</t>
        </is>
      </c>
      <c r="E240" s="2" t="inlineStr">
        <is>
          <t>2022710905008</t>
        </is>
      </c>
      <c r="F240" s="2">
        <v>59</v>
      </c>
      <c r="G240" s="2">
        <v>0</v>
      </c>
      <c r="H240" s="2">
        <v>141</v>
      </c>
      <c r="I240" s="2" t="inlineStr">
        <is>
          <t>1765</t>
        </is>
      </c>
      <c r="J240" s="4"/>
      <c r="K240" s="2">
        <v>15</v>
      </c>
      <c r="L240" s="6"/>
      <c r="M240" s="2" t="str">
        <f>IF(J240="",ROUND(I240*(1-IF(ISBLANK(L240),K240,L240)/100),2),ROUND(J240*(1-IF(ISBLANK(L240),K240,L240)/100),2))</f>
      </c>
      <c r="N240" s="7" t="str">
        <f>IF(NOT(AND(J240="",L240="")),IF(OR(AND(L240&lt;&gt;"",NOT(ISNUMBER(L240))),IFERROR(MOD(L240,1),1)&gt;0,AND(ISNUMBER(L240),OR(L240&lt;0,L240&gt;95))),"Введите целое число от 0 до 95",IF(OR(AND(J240&lt;&gt;"",NOT(ISNUMBER(J240))),IFERROR(MOD(J240,1),1)&gt;0,AND(ISNUMBER(J240),OR(J240&lt;50,J240&gt;20000000))),"Введите целое число от 50 до 20000000",IF(NOT(ABS(IFERROR(VALUE(LEFT(M240,FIND("-",M240)-1)),M240)*100-(2500+2000000000)/2)&lt;=ABS(2500-2000000000)/2),"Цена со скидкой должна быть от 25 до 20000000",IF(IFERROR(VALUE(LEFT(M240,FIND("-",M240)-1)),M240)*220&lt;150025,"Вы уменьшили цену в несколько раз, товар попадет в карантин цен",IF(AND(IFERROR(VALUE(I240),0)=0,ISNUMBER(J240),OR(J240&lt;250,ABS(IFERROR(VALUE(LEFT(M240,FIND("-",M240)-1)),M240))*100&lt;25000)),"Проверьте цену товара. Большинство товаров в выбранной категории стоят дороже 250",""))))),"")</f>
      </c>
    </row>
    <row r="241">
      <c r="A241" s="2" t="inlineStr">
        <is>
          <t>Крымский Хан</t>
        </is>
      </c>
      <c r="B241" s="2" t="inlineStr">
        <is>
          <t>Подсвечники</t>
        </is>
      </c>
      <c r="C241" s="2">
        <v>197470055</v>
      </c>
      <c r="D241" s="2" t="inlineStr">
        <is>
          <t>юбка</t>
        </is>
      </c>
      <c r="E241" s="2" t="inlineStr">
        <is>
          <t>2039214332551</t>
        </is>
      </c>
      <c r="F241" s="2">
        <v>11</v>
      </c>
      <c r="G241" s="2">
        <v>0</v>
      </c>
      <c r="H241" s="2">
        <v>999</v>
      </c>
      <c r="I241" s="2" t="inlineStr">
        <is>
          <t>4000</t>
        </is>
      </c>
      <c r="J241" s="4"/>
      <c r="K241" s="2">
        <v>25</v>
      </c>
      <c r="L241" s="6"/>
      <c r="M241" s="2" t="str">
        <f>IF(J241="",ROUND(I241*(1-IF(ISBLANK(L241),K241,L241)/100),2),ROUND(J241*(1-IF(ISBLANK(L241),K241,L241)/100),2))</f>
      </c>
      <c r="N241" s="7" t="str">
        <f>IF(NOT(AND(J241="",L241="")),IF(OR(AND(L241&lt;&gt;"",NOT(ISNUMBER(L241))),IFERROR(MOD(L241,1),1)&gt;0,AND(ISNUMBER(L241),OR(L241&lt;0,L241&gt;95))),"Введите целое число от 0 до 95",IF(OR(AND(J241&lt;&gt;"",NOT(ISNUMBER(J241))),IFERROR(MOD(J241,1),1)&gt;0,AND(ISNUMBER(J241),OR(J241&lt;50,J241&gt;20000000))),"Введите целое число от 50 до 20000000",IF(NOT(ABS(IFERROR(VALUE(LEFT(M241,FIND("-",M241)-1)),M241)*100-(2500+2000000000)/2)&lt;=ABS(2500-2000000000)/2),"Цена со скидкой должна быть от 25 до 20000000",IF(IFERROR(VALUE(LEFT(M241,FIND("-",M241)-1)),M241)*200&lt;300000,"Вы уменьшили цену в несколько раз, товар попадет в карантин цен",IF(AND(IFERROR(VALUE(I241),0)=0,ISNUMBER(J241),OR(J241&lt;356,ABS(IFERROR(VALUE(LEFT(M241,FIND("-",M241)-1)),M241))*100&lt;35600)),"Проверьте цену товара. Большинство товаров в выбранной категории стоят дороже 356",""))))),"")</f>
      </c>
    </row>
    <row r="242">
      <c r="A242" s="2" t="inlineStr">
        <is>
          <t>Крымский Хан</t>
        </is>
      </c>
      <c r="B242" s="2" t="inlineStr">
        <is>
          <t>Подсвечники</t>
        </is>
      </c>
      <c r="C242" s="2">
        <v>188974822</v>
      </c>
      <c r="D242" s="2" t="inlineStr">
        <is>
          <t>кокон</t>
        </is>
      </c>
      <c r="E242" s="2" t="inlineStr">
        <is>
          <t>2038959485645</t>
        </is>
      </c>
      <c r="F242" s="2">
        <v>10</v>
      </c>
      <c r="G242" s="2">
        <v>5</v>
      </c>
      <c r="H242" s="2">
        <v>999</v>
      </c>
      <c r="I242" s="2" t="inlineStr">
        <is>
          <t>4000</t>
        </is>
      </c>
      <c r="J242" s="4"/>
      <c r="K242" s="2">
        <v>25</v>
      </c>
      <c r="L242" s="6"/>
      <c r="M242" s="2" t="str">
        <f>IF(J242="",ROUND(I242*(1-IF(ISBLANK(L242),K242,L242)/100),2),ROUND(J242*(1-IF(ISBLANK(L242),K242,L242)/100),2))</f>
      </c>
      <c r="N242" s="7" t="str">
        <f>IF(NOT(AND(J242="",L242="")),IF(OR(AND(L242&lt;&gt;"",NOT(ISNUMBER(L242))),IFERROR(MOD(L242,1),1)&gt;0,AND(ISNUMBER(L242),OR(L242&lt;0,L242&gt;95))),"Введите целое число от 0 до 95",IF(OR(AND(J242&lt;&gt;"",NOT(ISNUMBER(J242))),IFERROR(MOD(J242,1),1)&gt;0,AND(ISNUMBER(J242),OR(J242&lt;50,J242&gt;20000000))),"Введите целое число от 50 до 20000000",IF(NOT(ABS(IFERROR(VALUE(LEFT(M242,FIND("-",M242)-1)),M242)*100-(2500+2000000000)/2)&lt;=ABS(2500-2000000000)/2),"Цена со скидкой должна быть от 25 до 20000000",IF(IFERROR(VALUE(LEFT(M242,FIND("-",M242)-1)),M242)*200&lt;300000,"Вы уменьшили цену в несколько раз, товар попадет в карантин цен",IF(AND(IFERROR(VALUE(I242),0)=0,ISNUMBER(J242),OR(J242&lt;356,ABS(IFERROR(VALUE(LEFT(M242,FIND("-",M242)-1)),M242))*100&lt;35600)),"Проверьте цену товара. Большинство товаров в выбранной категории стоят дороже 356",""))))),"")</f>
      </c>
    </row>
    <row r="243">
      <c r="A243" s="2" t="inlineStr">
        <is>
          <t>Крымский Хан</t>
        </is>
      </c>
      <c r="B243" s="2" t="inlineStr">
        <is>
          <t>Ложки чайные</t>
        </is>
      </c>
      <c r="C243" s="2">
        <v>43144134</v>
      </c>
      <c r="D243" s="2" t="inlineStr">
        <is>
          <t>KH3341KH3341</t>
        </is>
      </c>
      <c r="E243" s="2" t="inlineStr">
        <is>
          <t>2009078189011</t>
        </is>
      </c>
      <c r="F243" s="2">
        <v>22</v>
      </c>
      <c r="G243" s="2">
        <v>0</v>
      </c>
      <c r="H243" s="2">
        <v>399</v>
      </c>
      <c r="I243" s="2" t="inlineStr">
        <is>
          <t>1412</t>
        </is>
      </c>
      <c r="J243" s="4"/>
      <c r="K243" s="2">
        <v>20</v>
      </c>
      <c r="L243" s="6"/>
      <c r="M243" s="2" t="str">
        <f>IF(J243="",ROUND(I243*(1-IF(ISBLANK(L243),K243,L243)/100),2),ROUND(J243*(1-IF(ISBLANK(L243),K243,L243)/100),2))</f>
      </c>
      <c r="N243" s="7" t="str">
        <f>IF(NOT(AND(J243="",L243="")),IF(OR(AND(L243&lt;&gt;"",NOT(ISNUMBER(L243))),IFERROR(MOD(L243,1),1)&gt;0,AND(ISNUMBER(L243),OR(L243&lt;0,L243&gt;95))),"Введите целое число от 0 до 95",IF(OR(AND(J243&lt;&gt;"",NOT(ISNUMBER(J243))),IFERROR(MOD(J243,1),1)&gt;0,AND(ISNUMBER(J243),OR(J243&lt;50,J243&gt;20000000))),"Введите целое число от 50 до 20000000",IF(NOT(ABS(IFERROR(VALUE(LEFT(M243,FIND("-",M243)-1)),M243)*100-(2500+2000000000)/2)&lt;=ABS(2500-2000000000)/2),"Цена со скидкой должна быть от 25 до 20000000",IF(IFERROR(VALUE(LEFT(M243,FIND("-",M243)-1)),M243)*220&lt;112960,"Вы уменьшили цену в несколько раз, товар попадет в карантин цен",IF(AND(IFERROR(VALUE(I243),0)=0,ISNUMBER(J243),OR(J243&lt;206,ABS(IFERROR(VALUE(LEFT(M243,FIND("-",M243)-1)),M243))*100&lt;20600)),"Проверьте цену товара. Большинство товаров в выбранной категории стоят дороже 206",""))))),"")</f>
      </c>
    </row>
    <row r="244">
      <c r="A244" s="2" t="inlineStr">
        <is>
          <t>Крымский Хан</t>
        </is>
      </c>
      <c r="B244" s="2" t="inlineStr">
        <is>
          <t>Ложки чайные</t>
        </is>
      </c>
      <c r="C244" s="2">
        <v>62269400</v>
      </c>
      <c r="D244" s="2" t="inlineStr">
        <is>
          <t>kh3456kh3456</t>
        </is>
      </c>
      <c r="E244" s="2" t="inlineStr">
        <is>
          <t>2020051749008</t>
        </is>
      </c>
      <c r="F244" s="2">
        <v>148</v>
      </c>
      <c r="G244" s="2">
        <v>0</v>
      </c>
      <c r="H244" s="2">
        <v>914</v>
      </c>
      <c r="I244" s="2" t="inlineStr">
        <is>
          <t>1412</t>
        </is>
      </c>
      <c r="J244" s="4"/>
      <c r="K244" s="2">
        <v>20</v>
      </c>
      <c r="L244" s="6"/>
      <c r="M244" s="2" t="str">
        <f>IF(J244="",ROUND(I244*(1-IF(ISBLANK(L244),K244,L244)/100),2),ROUND(J244*(1-IF(ISBLANK(L244),K244,L244)/100),2))</f>
      </c>
      <c r="N244" s="7" t="str">
        <f>IF(NOT(AND(J244="",L244="")),IF(OR(AND(L244&lt;&gt;"",NOT(ISNUMBER(L244))),IFERROR(MOD(L244,1),1)&gt;0,AND(ISNUMBER(L244),OR(L244&lt;0,L244&gt;95))),"Введите целое число от 0 до 95",IF(OR(AND(J244&lt;&gt;"",NOT(ISNUMBER(J244))),IFERROR(MOD(J244,1),1)&gt;0,AND(ISNUMBER(J244),OR(J244&lt;50,J244&gt;20000000))),"Введите целое число от 50 до 20000000",IF(NOT(ABS(IFERROR(VALUE(LEFT(M244,FIND("-",M244)-1)),M244)*100-(2500+2000000000)/2)&lt;=ABS(2500-2000000000)/2),"Цена со скидкой должна быть от 25 до 20000000",IF(IFERROR(VALUE(LEFT(M244,FIND("-",M244)-1)),M244)*220&lt;112960,"Вы уменьшили цену в несколько раз, товар попадет в карантин цен",IF(AND(IFERROR(VALUE(I244),0)=0,ISNUMBER(J244),OR(J244&lt;206,ABS(IFERROR(VALUE(LEFT(M244,FIND("-",M244)-1)),M244))*100&lt;20600)),"Проверьте цену товара. Большинство товаров в выбранной категории стоят дороже 206",""))))),"")</f>
      </c>
    </row>
    <row r="245">
      <c r="A245" s="2" t="inlineStr">
        <is>
          <t>Крымский Хан</t>
        </is>
      </c>
      <c r="B245" s="2" t="inlineStr">
        <is>
          <t>Ложки чайные</t>
        </is>
      </c>
      <c r="C245" s="2">
        <v>122425828</v>
      </c>
      <c r="D245" s="2" t="inlineStr">
        <is>
          <t>тюльпанмини</t>
        </is>
      </c>
      <c r="E245" s="2" t="inlineStr">
        <is>
          <t>2036953565868</t>
        </is>
      </c>
      <c r="F245" s="2">
        <v>157</v>
      </c>
      <c r="G245" s="2">
        <v>0</v>
      </c>
      <c r="H245" s="2">
        <v>195</v>
      </c>
      <c r="I245" s="2" t="inlineStr">
        <is>
          <t>1824</t>
        </is>
      </c>
      <c r="J245" s="4"/>
      <c r="K245" s="2">
        <v>17</v>
      </c>
      <c r="L245" s="6"/>
      <c r="M245" s="2" t="str">
        <f>IF(J245="",ROUND(I245*(1-IF(ISBLANK(L245),K245,L245)/100),2),ROUND(J245*(1-IF(ISBLANK(L245),K245,L245)/100),2))</f>
      </c>
      <c r="N245" s="7" t="str">
        <f>IF(NOT(AND(J245="",L245="")),IF(OR(AND(L245&lt;&gt;"",NOT(ISNUMBER(L245))),IFERROR(MOD(L245,1),1)&gt;0,AND(ISNUMBER(L245),OR(L245&lt;0,L245&gt;95))),"Введите целое число от 0 до 95",IF(OR(AND(J245&lt;&gt;"",NOT(ISNUMBER(J245))),IFERROR(MOD(J245,1),1)&gt;0,AND(ISNUMBER(J245),OR(J245&lt;50,J245&gt;20000000))),"Введите целое число от 50 до 20000000",IF(NOT(ABS(IFERROR(VALUE(LEFT(M245,FIND("-",M245)-1)),M245)*100-(2500+2000000000)/2)&lt;=ABS(2500-2000000000)/2),"Цена со скидкой должна быть от 25 до 20000000",IF(IFERROR(VALUE(LEFT(M245,FIND("-",M245)-1)),M245)*220&lt;151391,"Вы уменьшили цену в несколько раз, товар попадет в карантин цен",IF(AND(IFERROR(VALUE(I245),0)=0,ISNUMBER(J245),OR(J245&lt;206,ABS(IFERROR(VALUE(LEFT(M245,FIND("-",M245)-1)),M245))*100&lt;20600)),"Проверьте цену товара. Большинство товаров в выбранной категории стоят дороже 206",""))))),"")</f>
      </c>
    </row>
    <row r="246">
      <c r="A246" s="2" t="inlineStr">
        <is>
          <t>Крымский Хан</t>
        </is>
      </c>
      <c r="B246" s="2" t="inlineStr">
        <is>
          <t>Ложки кофейные</t>
        </is>
      </c>
      <c r="C246" s="2">
        <v>39490685</v>
      </c>
      <c r="D246" s="2" t="inlineStr">
        <is>
          <t>KH3032</t>
        </is>
      </c>
      <c r="E246" s="2" t="inlineStr">
        <is>
          <t>2007623491008</t>
        </is>
      </c>
      <c r="F246" s="2">
        <v>89</v>
      </c>
      <c r="G246" s="2">
        <v>44</v>
      </c>
      <c r="H246" s="2">
        <v>186</v>
      </c>
      <c r="I246" s="2" t="inlineStr">
        <is>
          <t>1765</t>
        </is>
      </c>
      <c r="J246" s="4"/>
      <c r="K246" s="2">
        <v>15</v>
      </c>
      <c r="L246" s="6"/>
      <c r="M246" s="2" t="str">
        <f>IF(J246="",ROUND(I246*(1-IF(ISBLANK(L246),K246,L246)/100),2),ROUND(J246*(1-IF(ISBLANK(L246),K246,L246)/100),2))</f>
      </c>
      <c r="N246" s="7" t="str">
        <f>IF(NOT(AND(J246="",L246="")),IF(OR(AND(L246&lt;&gt;"",NOT(ISNUMBER(L246))),IFERROR(MOD(L246,1),1)&gt;0,AND(ISNUMBER(L246),OR(L246&lt;0,L246&gt;95))),"Введите целое число от 0 до 95",IF(OR(AND(J246&lt;&gt;"",NOT(ISNUMBER(J246))),IFERROR(MOD(J246,1),1)&gt;0,AND(ISNUMBER(J246),OR(J246&lt;50,J246&gt;20000000))),"Введите целое число от 50 до 20000000",IF(NOT(ABS(IFERROR(VALUE(LEFT(M246,FIND("-",M246)-1)),M246)*100-(2500+2000000000)/2)&lt;=ABS(2500-2000000000)/2),"Цена со скидкой должна быть от 25 до 20000000",IF(IFERROR(VALUE(LEFT(M246,FIND("-",M246)-1)),M246)*220&lt;150025,"Вы уменьшили цену в несколько раз, товар попадет в карантин цен",IF(AND(IFERROR(VALUE(I246),0)=0,ISNUMBER(J246),OR(J246&lt;246,ABS(IFERROR(VALUE(LEFT(M246,FIND("-",M246)-1)),M246))*100&lt;24600)),"Проверьте цену товара. Большинство товаров в выбранной категории стоят дороже 246",""))))),"")</f>
      </c>
    </row>
    <row r="247">
      <c r="A247" s="2" t="inlineStr">
        <is>
          <t>Крымский Хан</t>
        </is>
      </c>
      <c r="B247" s="2" t="inlineStr">
        <is>
          <t>Сервизы столовые</t>
        </is>
      </c>
      <c r="C247" s="2">
        <v>262372772</v>
      </c>
      <c r="D247" s="2" t="inlineStr">
        <is>
          <t>кофейный набор Гранат</t>
        </is>
      </c>
      <c r="E247" s="2" t="inlineStr">
        <is>
          <t>2041241610502</t>
        </is>
      </c>
      <c r="F247" s="2">
        <v>5</v>
      </c>
      <c r="G247" s="2">
        <v>0</v>
      </c>
      <c r="H247" s="2">
        <v>20</v>
      </c>
      <c r="I247" s="2" t="inlineStr">
        <is>
          <t>4330</t>
        </is>
      </c>
      <c r="J247" s="4"/>
      <c r="K247" s="2">
        <v>25</v>
      </c>
      <c r="L247" s="6"/>
      <c r="M247" s="2" t="str">
        <f>IF(J247="",ROUND(I247*(1-IF(ISBLANK(L247),K247,L247)/100),2),ROUND(J247*(1-IF(ISBLANK(L247),K247,L247)/100),2))</f>
      </c>
      <c r="N247" s="7" t="str">
        <f>IF(NOT(AND(J247="",L247="")),IF(OR(AND(L247&lt;&gt;"",NOT(ISNUMBER(L247))),IFERROR(MOD(L247,1),1)&gt;0,AND(ISNUMBER(L247),OR(L247&lt;0,L247&gt;95))),"Введите целое число от 0 до 95",IF(OR(AND(J247&lt;&gt;"",NOT(ISNUMBER(J247))),IFERROR(MOD(J247,1),1)&gt;0,AND(ISNUMBER(J247),OR(J247&lt;50,J247&gt;20000000))),"Введите целое число от 50 до 20000000",IF(NOT(ABS(IFERROR(VALUE(LEFT(M247,FIND("-",M247)-1)),M247)*100-(2500+2000000000)/2)&lt;=ABS(2500-2000000000)/2),"Цена со скидкой должна быть от 25 до 20000000",IF(IFERROR(VALUE(LEFT(M247,FIND("-",M247)-1)),M247)*220&lt;324750,"Вы уменьшили цену в несколько раз, товар попадет в карантин цен",IF(AND(IFERROR(VALUE(I247),0)=0,ISNUMBER(J247),OR(J247&lt;414,ABS(IFERROR(VALUE(LEFT(M247,FIND("-",M247)-1)),M247))*100&lt;41400)),"Проверьте цену товара. Большинство товаров в выбранной категории стоят дороже 414",""))))),"")</f>
      </c>
    </row>
    <row r="248">
      <c r="A248" s="2" t="inlineStr">
        <is>
          <t/>
        </is>
      </c>
      <c r="B248" s="2" t="inlineStr">
        <is>
          <t>Ножи столовые</t>
        </is>
      </c>
      <c r="C248" s="2">
        <v>941192413</v>
      </c>
      <c r="D248" s="2" t="inlineStr">
        <is>
          <t>wb516ql0l6</t>
        </is>
      </c>
      <c r="E248" s="2" t="inlineStr">
        <is>
          <t>2050216459558</t>
        </is>
      </c>
      <c r="F248" s="2">
        <v>20</v>
      </c>
      <c r="G248" s="2">
        <v>0</v>
      </c>
      <c r="H248" s="2">
        <v>999</v>
      </c>
      <c r="I248" s="2" t="inlineStr">
        <is>
          <t>3000</t>
        </is>
      </c>
      <c r="J248" s="4"/>
      <c r="K248" s="2">
        <v>0</v>
      </c>
      <c r="L248" s="6"/>
      <c r="M248" s="2" t="str">
        <f>IF(J248="",ROUND(I248*(1-IF(ISBLANK(L248),K248,L248)/100),2),ROUND(J248*(1-IF(ISBLANK(L248),K248,L248)/100),2))</f>
      </c>
      <c r="N248" s="7" t="str">
        <f>IF(NOT(AND(J248="",L248="")),IF(OR(AND(L248&lt;&gt;"",NOT(ISNUMBER(L248))),IFERROR(MOD(L248,1),1)&gt;0,AND(ISNUMBER(L248),OR(L248&lt;0,L248&gt;95))),"Введите целое число от 0 до 95",IF(OR(AND(J248&lt;&gt;"",NOT(ISNUMBER(J248))),IFERROR(MOD(J248,1),1)&gt;0,AND(ISNUMBER(J248),OR(J248&lt;50,J248&gt;20000000))),"Введите целое число от 50 до 20000000",IF(NOT(ABS(IFERROR(VALUE(LEFT(M248,FIND("-",M248)-1)),M248)*100-(2500+2000000000)/2)&lt;=ABS(2500-2000000000)/2),"Цена со скидкой должна быть от 25 до 20000000",IF(IFERROR(VALUE(LEFT(M248,FIND("-",M248)-1)),M248)*220&lt;300000,"Вы уменьшили цену в несколько раз, товар попадет в карантин цен",IF(AND(IFERROR(VALUE(I248),0)=0,ISNUMBER(J248),OR(J248&lt;344,ABS(IFERROR(VALUE(LEFT(M248,FIND("-",M248)-1)),M248))*100&lt;34400)),"Проверьте цену товара. Большинство товаров в выбранной категории стоят дороже 344",""))))),"")</f>
      </c>
    </row>
    <row r="249">
      <c r="A249" s="2" t="inlineStr">
        <is>
          <t>Крымский Хан</t>
        </is>
      </c>
      <c r="B249" s="2" t="inlineStr">
        <is>
          <t>Салфетницы кухонные</t>
        </is>
      </c>
      <c r="C249" s="2">
        <v>200039101</v>
      </c>
      <c r="D249" s="2" t="inlineStr">
        <is>
          <t>салфетница квадрат</t>
        </is>
      </c>
      <c r="E249" s="2" t="inlineStr">
        <is>
          <t>2039308028636</t>
        </is>
      </c>
      <c r="F249" s="2">
        <v>14</v>
      </c>
      <c r="G249" s="2">
        <v>0</v>
      </c>
      <c r="H249" s="2">
        <v>999</v>
      </c>
      <c r="I249" s="2" t="inlineStr">
        <is>
          <t>4000</t>
        </is>
      </c>
      <c r="J249" s="4"/>
      <c r="K249" s="2">
        <v>20</v>
      </c>
      <c r="L249" s="6"/>
      <c r="M249" s="2" t="str">
        <f>IF(J249="",ROUND(I249*(1-IF(ISBLANK(L249),K249,L249)/100),2),ROUND(J249*(1-IF(ISBLANK(L249),K249,L249)/100),2))</f>
      </c>
      <c r="N249" s="7" t="str">
        <f>IF(NOT(AND(J249="",L249="")),IF(OR(AND(L249&lt;&gt;"",NOT(ISNUMBER(L249))),IFERROR(MOD(L249,1),1)&gt;0,AND(ISNUMBER(L249),OR(L249&lt;0,L249&gt;95))),"Введите целое число от 0 до 95",IF(OR(AND(J249&lt;&gt;"",NOT(ISNUMBER(J249))),IFERROR(MOD(J249,1),1)&gt;0,AND(ISNUMBER(J249),OR(J249&lt;50,J249&gt;20000000))),"Введите целое число от 50 до 20000000",IF(NOT(ABS(IFERROR(VALUE(LEFT(M249,FIND("-",M249)-1)),M249)*100-(2500+2000000000)/2)&lt;=ABS(2500-2000000000)/2),"Цена со скидкой должна быть от 25 до 20000000",IF(IFERROR(VALUE(LEFT(M249,FIND("-",M249)-1)),M249)*220&lt;320000,"Вы уменьшили цену в несколько раз, товар попадет в карантин цен",IF(AND(IFERROR(VALUE(I249),0)=0,ISNUMBER(J249),OR(J249&lt;180,ABS(IFERROR(VALUE(LEFT(M249,FIND("-",M249)-1)),M249))*100&lt;18000)),"Проверьте цену товара. Большинство товаров в выбранной категории стоят дороже 180",""))))),"")</f>
      </c>
    </row>
    <row r="250">
      <c r="A250" s="2" t="inlineStr">
        <is>
          <t>Крымский Хан</t>
        </is>
      </c>
      <c r="B250" s="2" t="inlineStr">
        <is>
          <t>Наборы для специй</t>
        </is>
      </c>
      <c r="C250" s="2">
        <v>269704265</v>
      </c>
      <c r="D250" s="2" t="inlineStr">
        <is>
          <t>зубочистка</t>
        </is>
      </c>
      <c r="E250" s="2" t="inlineStr">
        <is>
          <t>2041442532283</t>
        </is>
      </c>
      <c r="F250" s="2">
        <v>10</v>
      </c>
      <c r="G250" s="2">
        <v>9</v>
      </c>
      <c r="H250" s="2">
        <v>28</v>
      </c>
      <c r="I250" s="2" t="inlineStr">
        <is>
          <t>3530</t>
        </is>
      </c>
      <c r="J250" s="4"/>
      <c r="K250" s="2">
        <v>19</v>
      </c>
      <c r="L250" s="6"/>
      <c r="M250" s="2" t="str">
        <f>IF(J250="",ROUND(I250*(1-IF(ISBLANK(L250),K250,L250)/100),2),ROUND(J250*(1-IF(ISBLANK(L250),K250,L250)/100),2))</f>
      </c>
      <c r="N250" s="7" t="str">
        <f>IF(NOT(AND(J250="",L250="")),IF(OR(AND(L250&lt;&gt;"",NOT(ISNUMBER(L250))),IFERROR(MOD(L250,1),1)&gt;0,AND(ISNUMBER(L250),OR(L250&lt;0,L250&gt;95))),"Введите целое число от 0 до 95",IF(OR(AND(J250&lt;&gt;"",NOT(ISNUMBER(J250))),IFERROR(MOD(J250,1),1)&gt;0,AND(ISNUMBER(J250),OR(J250&lt;50,J250&gt;20000000))),"Введите целое число от 50 до 20000000",IF(NOT(ABS(IFERROR(VALUE(LEFT(M250,FIND("-",M250)-1)),M250)*100-(2500+2000000000)/2)&lt;=ABS(2500-2000000000)/2),"Цена со скидкой должна быть от 25 до 20000000",IF(IFERROR(VALUE(LEFT(M250,FIND("-",M250)-1)),M250)*220&lt;285930,"Вы уменьшили цену в несколько раз, товар попадет в карантин цен",IF(AND(IFERROR(VALUE(I250),0)=0,ISNUMBER(J250),OR(J250&lt;263,ABS(IFERROR(VALUE(LEFT(M250,FIND("-",M250)-1)),M250))*100&lt;26300)),"Проверьте цену товара. Большинство товаров в выбранной категории стоят дороже 263",""))))),"")</f>
      </c>
    </row>
    <row r="251">
      <c r="A251" s="2" t="inlineStr">
        <is>
          <t>Крымский Хан</t>
        </is>
      </c>
      <c r="B251" s="2" t="inlineStr">
        <is>
          <t>Сувенирные ложки</t>
        </is>
      </c>
      <c r="C251" s="2">
        <v>32539706</v>
      </c>
      <c r="D251" s="2" t="inlineStr">
        <is>
          <t>GD3137GD3137</t>
        </is>
      </c>
      <c r="E251" s="2" t="inlineStr">
        <is>
          <t>2003804356036</t>
        </is>
      </c>
      <c r="F251" s="2" t="inlineStr">
        <is>
          <t/>
        </is>
      </c>
      <c r="G251" s="2" t="inlineStr">
        <is>
          <t/>
        </is>
      </c>
      <c r="H251" s="2" t="inlineStr">
        <is>
          <t/>
        </is>
      </c>
      <c r="I251" s="2" t="inlineStr">
        <is>
          <t>530</t>
        </is>
      </c>
      <c r="J251" s="4"/>
      <c r="K251" s="2">
        <v>15</v>
      </c>
      <c r="L251" s="6"/>
      <c r="M251" s="2" t="str">
        <f>IF(J251="",ROUND(I251*(1-IF(ISBLANK(L251),K251,L251)/100),2),ROUND(J251*(1-IF(ISBLANK(L251),K251,L251)/100),2))</f>
      </c>
      <c r="N251" s="7" t="str">
        <f>IF(NOT(AND(J251="",L251="")),IF(OR(AND(L251&lt;&gt;"",NOT(ISNUMBER(L251))),IFERROR(MOD(L251,1),1)&gt;0,AND(ISNUMBER(L251),OR(L251&lt;0,L251&gt;95))),"Введите целое число от 0 до 95",IF(OR(AND(J251&lt;&gt;"",NOT(ISNUMBER(J251))),IFERROR(MOD(J251,1),1)&gt;0,AND(ISNUMBER(J251),OR(J251&lt;50,J251&gt;20000000))),"Введите целое число от 50 до 20000000",IF(NOT(ABS(IFERROR(VALUE(LEFT(M251,FIND("-",M251)-1)),M251)*100-(2500+2000000000)/2)&lt;=ABS(2500-2000000000)/2),"Цена со скидкой должна быть от 25 до 20000000",IF(IFERROR(VALUE(LEFT(M251,FIND("-",M251)-1)),M251)*220&lt;45050,"Вы уменьшили цену в несколько раз, товар попадет в карантин цен",IF(AND(IFERROR(VALUE(I251),0)=0,ISNUMBER(J251),OR(J251&lt;295,ABS(IFERROR(VALUE(LEFT(M251,FIND("-",M251)-1)),M251))*100&lt;29500)),"Проверьте цену товара. Большинство товаров в выбранной категории стоят дороже 295",""))))),"")</f>
      </c>
    </row>
    <row r="252">
      <c r="A252" s="2" t="inlineStr">
        <is>
          <t/>
        </is>
      </c>
      <c r="B252" s="2" t="inlineStr">
        <is>
          <t>Салфетницы кухонные</t>
        </is>
      </c>
      <c r="C252" s="2">
        <v>214338605</v>
      </c>
      <c r="D252" s="2" t="inlineStr">
        <is>
          <t>кружевная</t>
        </is>
      </c>
      <c r="E252" s="2" t="inlineStr">
        <is>
          <t>2039598628691</t>
        </is>
      </c>
      <c r="F252" s="2">
        <v>6</v>
      </c>
      <c r="G252" s="2">
        <v>0</v>
      </c>
      <c r="H252" s="2">
        <v>999</v>
      </c>
      <c r="I252" s="2" t="inlineStr">
        <is>
          <t>4000</t>
        </is>
      </c>
      <c r="J252" s="4"/>
      <c r="K252" s="2">
        <v>20</v>
      </c>
      <c r="L252" s="6"/>
      <c r="M252" s="2" t="str">
        <f>IF(J252="",ROUND(I252*(1-IF(ISBLANK(L252),K252,L252)/100),2),ROUND(J252*(1-IF(ISBLANK(L252),K252,L252)/100),2))</f>
      </c>
      <c r="N252" s="7" t="str">
        <f>IF(NOT(AND(J252="",L252="")),IF(OR(AND(L252&lt;&gt;"",NOT(ISNUMBER(L252))),IFERROR(MOD(L252,1),1)&gt;0,AND(ISNUMBER(L252),OR(L252&lt;0,L252&gt;95))),"Введите целое число от 0 до 95",IF(OR(AND(J252&lt;&gt;"",NOT(ISNUMBER(J252))),IFERROR(MOD(J252,1),1)&gt;0,AND(ISNUMBER(J252),OR(J252&lt;50,J252&gt;20000000))),"Введите целое число от 50 до 20000000",IF(NOT(ABS(IFERROR(VALUE(LEFT(M252,FIND("-",M252)-1)),M252)*100-(2500+2000000000)/2)&lt;=ABS(2500-2000000000)/2),"Цена со скидкой должна быть от 25 до 20000000",IF(IFERROR(VALUE(LEFT(M252,FIND("-",M252)-1)),M252)*220&lt;320000,"Вы уменьшили цену в несколько раз, товар попадет в карантин цен",IF(AND(IFERROR(VALUE(I252),0)=0,ISNUMBER(J252),OR(J252&lt;180,ABS(IFERROR(VALUE(LEFT(M252,FIND("-",M252)-1)),M252))*100&lt;18000)),"Проверьте цену товара. Большинство товаров в выбранной категории стоят дороже 180",""))))),"")</f>
      </c>
    </row>
    <row r="253">
      <c r="A253" s="2" t="inlineStr">
        <is>
          <t>Крымский Хан</t>
        </is>
      </c>
      <c r="B253" s="2" t="inlineStr">
        <is>
          <t>Половники</t>
        </is>
      </c>
      <c r="C253" s="2">
        <v>160161559</v>
      </c>
      <c r="D253" s="2" t="inlineStr">
        <is>
          <t>половник</t>
        </is>
      </c>
      <c r="E253" s="2" t="inlineStr">
        <is>
          <t>2037798572684</t>
        </is>
      </c>
      <c r="F253" s="2">
        <v>7</v>
      </c>
      <c r="G253" s="2">
        <v>0</v>
      </c>
      <c r="H253" s="2">
        <v>51</v>
      </c>
      <c r="I253" s="2" t="inlineStr">
        <is>
          <t>4000</t>
        </is>
      </c>
      <c r="J253" s="4"/>
      <c r="K253" s="2">
        <v>27</v>
      </c>
      <c r="L253" s="6"/>
      <c r="M253" s="2" t="str">
        <f>IF(J253="",ROUND(I253*(1-IF(ISBLANK(L253),K253,L253)/100),2),ROUND(J253*(1-IF(ISBLANK(L253),K253,L253)/100),2))</f>
      </c>
      <c r="N253" s="7" t="str">
        <f>IF(NOT(AND(J253="",L253="")),IF(OR(AND(L253&lt;&gt;"",NOT(ISNUMBER(L253))),IFERROR(MOD(L253,1),1)&gt;0,AND(ISNUMBER(L253),OR(L253&lt;0,L253&gt;95))),"Введите целое число от 0 до 95",IF(OR(AND(J253&lt;&gt;"",NOT(ISNUMBER(J253))),IFERROR(MOD(J253,1),1)&gt;0,AND(ISNUMBER(J253),OR(J253&lt;50,J253&gt;20000000))),"Введите целое число от 50 до 20000000",IF(NOT(ABS(IFERROR(VALUE(LEFT(M253,FIND("-",M253)-1)),M253)*100-(2500+2000000000)/2)&lt;=ABS(2500-2000000000)/2),"Цена со скидкой должна быть от 25 до 20000000",IF(IFERROR(VALUE(LEFT(M253,FIND("-",M253)-1)),M253)*220&lt;292000,"Вы уменьшили цену в несколько раз, товар попадет в карантин цен",IF(AND(IFERROR(VALUE(I253),0)=0,ISNUMBER(J253),OR(J253&lt;336,ABS(IFERROR(VALUE(LEFT(M253,FIND("-",M253)-1)),M253))*100&lt;33600)),"Проверьте цену товара. Большинство товаров в выбранной категории стоят дороже 336",""))))),"")</f>
      </c>
    </row>
    <row r="254">
      <c r="A254" s="2" t="inlineStr">
        <is>
          <t>Крымский Хан</t>
        </is>
      </c>
      <c r="B254" s="2" t="inlineStr">
        <is>
          <t>Ситечки для заваривания</t>
        </is>
      </c>
      <c r="C254" s="2">
        <v>188974297</v>
      </c>
      <c r="D254" s="2" t="inlineStr">
        <is>
          <t>ситечко</t>
        </is>
      </c>
      <c r="E254" s="2" t="inlineStr">
        <is>
          <t>2038959447360</t>
        </is>
      </c>
      <c r="F254" s="2">
        <v>11</v>
      </c>
      <c r="G254" s="2">
        <v>0</v>
      </c>
      <c r="H254" s="2">
        <v>170</v>
      </c>
      <c r="I254" s="2" t="inlineStr">
        <is>
          <t>2353</t>
        </is>
      </c>
      <c r="J254" s="4"/>
      <c r="K254" s="2">
        <v>15</v>
      </c>
      <c r="L254" s="6"/>
      <c r="M254" s="2" t="str">
        <f>IF(J254="",ROUND(I254*(1-IF(ISBLANK(L254),K254,L254)/100),2),ROUND(J254*(1-IF(ISBLANK(L254),K254,L254)/100),2))</f>
      </c>
      <c r="N254" s="7" t="str">
        <f>IF(NOT(AND(J254="",L254="")),IF(OR(AND(L254&lt;&gt;"",NOT(ISNUMBER(L254))),IFERROR(MOD(L254,1),1)&gt;0,AND(ISNUMBER(L254),OR(L254&lt;0,L254&gt;95))),"Введите целое число от 0 до 95",IF(OR(AND(J254&lt;&gt;"",NOT(ISNUMBER(J254))),IFERROR(MOD(J254,1),1)&gt;0,AND(ISNUMBER(J254),OR(J254&lt;50,J254&gt;20000000))),"Введите целое число от 50 до 20000000",IF(NOT(ABS(IFERROR(VALUE(LEFT(M254,FIND("-",M254)-1)),M254)*100-(2500+2000000000)/2)&lt;=ABS(2500-2000000000)/2),"Цена со скидкой должна быть от 25 до 20000000",IF(IFERROR(VALUE(LEFT(M254,FIND("-",M254)-1)),M254)*220&lt;200005,"Вы уменьшили цену в несколько раз, товар попадет в карантин цен",IF(AND(IFERROR(VALUE(I254),0)=0,ISNUMBER(J254),OR(J254&lt;224,ABS(IFERROR(VALUE(LEFT(M254,FIND("-",M254)-1)),M254))*100&lt;22400)),"Проверьте цену товара. Большинство товаров в выбранной категории стоят дороже 224",""))))),"")</f>
      </c>
    </row>
    <row r="255">
      <c r="A255" s="2" t="inlineStr">
        <is>
          <t>Крымский Хан</t>
        </is>
      </c>
      <c r="B255" s="2" t="inlineStr">
        <is>
          <t>Ложки чайные</t>
        </is>
      </c>
      <c r="C255" s="2">
        <v>37914459</v>
      </c>
      <c r="D255" s="2" t="inlineStr">
        <is>
          <t>KH3008KH3008</t>
        </is>
      </c>
      <c r="E255" s="2" t="inlineStr">
        <is>
          <t>2006872173116</t>
        </is>
      </c>
      <c r="F255" s="2" t="inlineStr">
        <is>
          <t/>
        </is>
      </c>
      <c r="G255" s="2" t="inlineStr">
        <is>
          <t/>
        </is>
      </c>
      <c r="H255" s="2">
        <v>0</v>
      </c>
      <c r="I255" s="2" t="inlineStr">
        <is>
          <t>883</t>
        </is>
      </c>
      <c r="J255" s="4"/>
      <c r="K255" s="2">
        <v>15</v>
      </c>
      <c r="L255" s="6"/>
      <c r="M255" s="2" t="str">
        <f>IF(J255="",ROUND(I255*(1-IF(ISBLANK(L255),K255,L255)/100),2),ROUND(J255*(1-IF(ISBLANK(L255),K255,L255)/100),2))</f>
      </c>
      <c r="N255" s="7" t="str">
        <f>IF(NOT(AND(J255="",L255="")),IF(OR(AND(L255&lt;&gt;"",NOT(ISNUMBER(L255))),IFERROR(MOD(L255,1),1)&gt;0,AND(ISNUMBER(L255),OR(L255&lt;0,L255&gt;95))),"Введите целое число от 0 до 95",IF(OR(AND(J255&lt;&gt;"",NOT(ISNUMBER(J255))),IFERROR(MOD(J255,1),1)&gt;0,AND(ISNUMBER(J255),OR(J255&lt;50,J255&gt;20000000))),"Введите целое число от 50 до 20000000",IF(NOT(ABS(IFERROR(VALUE(LEFT(M255,FIND("-",M255)-1)),M255)*100-(2500+2000000000)/2)&lt;=ABS(2500-2000000000)/2),"Цена со скидкой должна быть от 25 до 20000000",IF(IFERROR(VALUE(LEFT(M255,FIND("-",M255)-1)),M255)*220&lt;75055,"Вы уменьшили цену в несколько раз, товар попадет в карантин цен",IF(AND(IFERROR(VALUE(I255),0)=0,ISNUMBER(J255),OR(J255&lt;206,ABS(IFERROR(VALUE(LEFT(M255,FIND("-",M255)-1)),M255))*100&lt;20600)),"Проверьте цену товара. Большинство товаров в выбранной категории стоят дороже 206",""))))),"")</f>
      </c>
    </row>
    <row r="256">
      <c r="A256" s="2" t="inlineStr">
        <is>
          <t>Крымский Хан</t>
        </is>
      </c>
      <c r="B256" s="2" t="inlineStr">
        <is>
          <t>Сахарницы</t>
        </is>
      </c>
      <c r="C256" s="2">
        <v>298022617</v>
      </c>
      <c r="D256" s="2" t="inlineStr">
        <is>
          <t>Лукумница Хан</t>
        </is>
      </c>
      <c r="E256" s="2" t="inlineStr">
        <is>
          <t>2042153383027</t>
        </is>
      </c>
      <c r="F256" s="2">
        <v>24</v>
      </c>
      <c r="G256" s="2">
        <v>4</v>
      </c>
      <c r="H256" s="2">
        <v>305</v>
      </c>
      <c r="I256" s="2" t="inlineStr">
        <is>
          <t>4000</t>
        </is>
      </c>
      <c r="J256" s="4"/>
      <c r="K256" s="2">
        <v>15</v>
      </c>
      <c r="L256" s="6"/>
      <c r="M256" s="2" t="str">
        <f>IF(J256="",ROUND(I256*(1-IF(ISBLANK(L256),K256,L256)/100),2),ROUND(J256*(1-IF(ISBLANK(L256),K256,L256)/100),2))</f>
      </c>
      <c r="N256" s="7" t="str">
        <f>IF(NOT(AND(J256="",L256="")),IF(OR(AND(L256&lt;&gt;"",NOT(ISNUMBER(L256))),IFERROR(MOD(L256,1),1)&gt;0,AND(ISNUMBER(L256),OR(L256&lt;0,L256&gt;95))),"Введите целое число от 0 до 95",IF(OR(AND(J256&lt;&gt;"",NOT(ISNUMBER(J256))),IFERROR(MOD(J256,1),1)&gt;0,AND(ISNUMBER(J256),OR(J256&lt;50,J256&gt;20000000))),"Введите целое число от 50 до 20000000",IF(NOT(ABS(IFERROR(VALUE(LEFT(M256,FIND("-",M256)-1)),M256)*100-(2500+2000000000)/2)&lt;=ABS(2500-2000000000)/2),"Цена со скидкой должна быть от 25 до 20000000",IF(IFERROR(VALUE(LEFT(M256,FIND("-",M256)-1)),M256)*220&lt;340000,"Вы уменьшили цену в несколько раз, товар попадет в карантин цен",IF(AND(IFERROR(VALUE(I256),0)=0,ISNUMBER(J256),OR(J256&lt;416,ABS(IFERROR(VALUE(LEFT(M256,FIND("-",M256)-1)),M256))*100&lt;41600)),"Проверьте цену товара. Большинство товаров в выбранной категории стоят дороже 416",""))))),"")</f>
      </c>
    </row>
    <row r="257">
      <c r="A257" s="2" t="inlineStr">
        <is>
          <t>Крымский Хан</t>
        </is>
      </c>
      <c r="B257" s="2" t="inlineStr">
        <is>
          <t>Молочники</t>
        </is>
      </c>
      <c r="C257" s="2">
        <v>262375099</v>
      </c>
      <c r="D257" s="2" t="inlineStr">
        <is>
          <t>кувшин</t>
        </is>
      </c>
      <c r="E257" s="2" t="inlineStr">
        <is>
          <t>2041241648697</t>
        </is>
      </c>
      <c r="F257" s="2">
        <v>15</v>
      </c>
      <c r="G257" s="2">
        <v>0</v>
      </c>
      <c r="H257" s="2">
        <v>126</v>
      </c>
      <c r="I257" s="2" t="inlineStr">
        <is>
          <t>3000</t>
        </is>
      </c>
      <c r="J257" s="4"/>
      <c r="K257" s="2">
        <v>10</v>
      </c>
      <c r="L257" s="6"/>
      <c r="M257" s="2" t="str">
        <f>IF(J257="",ROUND(I257*(1-IF(ISBLANK(L257),K257,L257)/100),2),ROUND(J257*(1-IF(ISBLANK(L257),K257,L257)/100),2))</f>
      </c>
      <c r="N257" s="7" t="str">
        <f>IF(NOT(AND(J257="",L257="")),IF(OR(AND(L257&lt;&gt;"",NOT(ISNUMBER(L257))),IFERROR(MOD(L257,1),1)&gt;0,AND(ISNUMBER(L257),OR(L257&lt;0,L257&gt;95))),"Введите целое число от 0 до 95",IF(OR(AND(J257&lt;&gt;"",NOT(ISNUMBER(J257))),IFERROR(MOD(J257,1),1)&gt;0,AND(ISNUMBER(J257),OR(J257&lt;50,J257&gt;20000000))),"Введите целое число от 50 до 20000000",IF(NOT(ABS(IFERROR(VALUE(LEFT(M257,FIND("-",M257)-1)),M257)*100-(2500+2000000000)/2)&lt;=ABS(2500-2000000000)/2),"Цена со скидкой должна быть от 25 до 20000000",IF(IFERROR(VALUE(LEFT(M257,FIND("-",M257)-1)),M257)*220&lt;270000,"Вы уменьшили цену в несколько раз, товар попадет в карантин цен",IF(AND(IFERROR(VALUE(I257),0)=0,ISNUMBER(J257),OR(J257&lt;460,ABS(IFERROR(VALUE(LEFT(M257,FIND("-",M257)-1)),M257))*100&lt;46000)),"Проверьте цену товара. Большинство товаров в выбранной категории стоят дороже 460",""))))),"")</f>
      </c>
    </row>
    <row r="258">
      <c r="A258" s="2" t="inlineStr">
        <is>
          <t>Крымский Хан</t>
        </is>
      </c>
      <c r="B258" s="2" t="inlineStr">
        <is>
          <t>Сахарницы</t>
        </is>
      </c>
      <c r="C258" s="2">
        <v>298022616</v>
      </c>
      <c r="D258" s="2" t="inlineStr">
        <is>
          <t>Сахарница</t>
        </is>
      </c>
      <c r="E258" s="2" t="inlineStr">
        <is>
          <t>2042153380767</t>
        </is>
      </c>
      <c r="F258" s="2">
        <v>19</v>
      </c>
      <c r="G258" s="2">
        <v>0</v>
      </c>
      <c r="H258" s="2">
        <v>91</v>
      </c>
      <c r="I258" s="2" t="inlineStr">
        <is>
          <t>4765</t>
        </is>
      </c>
      <c r="J258" s="4"/>
      <c r="K258" s="2">
        <v>15</v>
      </c>
      <c r="L258" s="6"/>
      <c r="M258" s="2" t="str">
        <f>IF(J258="",ROUND(I258*(1-IF(ISBLANK(L258),K258,L258)/100),2),ROUND(J258*(1-IF(ISBLANK(L258),K258,L258)/100),2))</f>
      </c>
      <c r="N258" s="7" t="str">
        <f>IF(NOT(AND(J258="",L258="")),IF(OR(AND(L258&lt;&gt;"",NOT(ISNUMBER(L258))),IFERROR(MOD(L258,1),1)&gt;0,AND(ISNUMBER(L258),OR(L258&lt;0,L258&gt;95))),"Введите целое число от 0 до 95",IF(OR(AND(J258&lt;&gt;"",NOT(ISNUMBER(J258))),IFERROR(MOD(J258,1),1)&gt;0,AND(ISNUMBER(J258),OR(J258&lt;50,J258&gt;20000000))),"Введите целое число от 50 до 20000000",IF(NOT(ABS(IFERROR(VALUE(LEFT(M258,FIND("-",M258)-1)),M258)*100-(2500+2000000000)/2)&lt;=ABS(2500-2000000000)/2),"Цена со скидкой должна быть от 25 до 20000000",IF(IFERROR(VALUE(LEFT(M258,FIND("-",M258)-1)),M258)*220&lt;405025,"Вы уменьшили цену в несколько раз, товар попадет в карантин цен",IF(AND(IFERROR(VALUE(I258),0)=0,ISNUMBER(J258),OR(J258&lt;416,ABS(IFERROR(VALUE(LEFT(M258,FIND("-",M258)-1)),M258))*100&lt;41600)),"Проверьте цену товара. Большинство товаров в выбранной категории стоят дороже 416",""))))),"")</f>
      </c>
    </row>
    <row r="259">
      <c r="A259" s="2" t="inlineStr">
        <is>
          <t>Крымский Хан</t>
        </is>
      </c>
      <c r="B259" s="2" t="inlineStr">
        <is>
          <t>Подстаканники</t>
        </is>
      </c>
      <c r="C259" s="2">
        <v>140585735</v>
      </c>
      <c r="D259" s="2" t="inlineStr">
        <is>
          <t>подстаканник</t>
        </is>
      </c>
      <c r="E259" s="2" t="inlineStr">
        <is>
          <t>2037302634570</t>
        </is>
      </c>
      <c r="F259" s="2">
        <v>22</v>
      </c>
      <c r="G259" s="2">
        <v>0</v>
      </c>
      <c r="H259" s="2">
        <v>17</v>
      </c>
      <c r="I259" s="2" t="inlineStr">
        <is>
          <t>4553</t>
        </is>
      </c>
      <c r="J259" s="4"/>
      <c r="K259" s="2">
        <v>20</v>
      </c>
      <c r="L259" s="6"/>
      <c r="M259" s="2" t="str">
        <f>IF(J259="",ROUND(I259*(1-IF(ISBLANK(L259),K259,L259)/100),2),ROUND(J259*(1-IF(ISBLANK(L259),K259,L259)/100),2))</f>
      </c>
      <c r="N259" s="7" t="str">
        <f>IF(NOT(AND(J259="",L259="")),IF(OR(AND(L259&lt;&gt;"",NOT(ISNUMBER(L259))),IFERROR(MOD(L259,1),1)&gt;0,AND(ISNUMBER(L259),OR(L259&lt;0,L259&gt;95))),"Введите целое число от 0 до 95",IF(OR(AND(J259&lt;&gt;"",NOT(ISNUMBER(J259))),IFERROR(MOD(J259,1),1)&gt;0,AND(ISNUMBER(J259),OR(J259&lt;50,J259&gt;20000000))),"Введите целое число от 50 до 20000000",IF(NOT(ABS(IFERROR(VALUE(LEFT(M259,FIND("-",M259)-1)),M259)*100-(2500+2000000000)/2)&lt;=ABS(2500-2000000000)/2),"Цена со скидкой должна быть от 25 до 20000000",IF(IFERROR(VALUE(LEFT(M259,FIND("-",M259)-1)),M259)*220&lt;364240,"Вы уменьшили цену в несколько раз, товар попадет в карантин цен",IF(AND(IFERROR(VALUE(I259),0)=0,ISNUMBER(J259),OR(J259&lt;209,ABS(IFERROR(VALUE(LEFT(M259,FIND("-",M259)-1)),M259))*100&lt;20900)),"Проверьте цену товара. Большинство товаров в выбранной категории стоят дороже 209",""))))),"")</f>
      </c>
    </row>
    <row r="260">
      <c r="A260" s="2" t="inlineStr">
        <is>
          <t>Крымский Хан</t>
        </is>
      </c>
      <c r="B260" s="2" t="inlineStr">
        <is>
          <t>Подстаканники</t>
        </is>
      </c>
      <c r="C260" s="2">
        <v>178881936</v>
      </c>
      <c r="D260" s="2" t="inlineStr">
        <is>
          <t>охотник</t>
        </is>
      </c>
      <c r="E260" s="2" t="inlineStr">
        <is>
          <t>2038685067740</t>
        </is>
      </c>
      <c r="F260" s="2">
        <v>19</v>
      </c>
      <c r="G260" s="2">
        <v>0</v>
      </c>
      <c r="H260" s="2">
        <v>32</v>
      </c>
      <c r="I260" s="2" t="inlineStr">
        <is>
          <t>4553</t>
        </is>
      </c>
      <c r="J260" s="4"/>
      <c r="K260" s="2">
        <v>20</v>
      </c>
      <c r="L260" s="6"/>
      <c r="M260" s="2" t="str">
        <f>IF(J260="",ROUND(I260*(1-IF(ISBLANK(L260),K260,L260)/100),2),ROUND(J260*(1-IF(ISBLANK(L260),K260,L260)/100),2))</f>
      </c>
      <c r="N260" s="7" t="str">
        <f>IF(NOT(AND(J260="",L260="")),IF(OR(AND(L260&lt;&gt;"",NOT(ISNUMBER(L260))),IFERROR(MOD(L260,1),1)&gt;0,AND(ISNUMBER(L260),OR(L260&lt;0,L260&gt;95))),"Введите целое число от 0 до 95",IF(OR(AND(J260&lt;&gt;"",NOT(ISNUMBER(J260))),IFERROR(MOD(J260,1),1)&gt;0,AND(ISNUMBER(J260),OR(J260&lt;50,J260&gt;20000000))),"Введите целое число от 50 до 20000000",IF(NOT(ABS(IFERROR(VALUE(LEFT(M260,FIND("-",M260)-1)),M260)*100-(2500+2000000000)/2)&lt;=ABS(2500-2000000000)/2),"Цена со скидкой должна быть от 25 до 20000000",IF(IFERROR(VALUE(LEFT(M260,FIND("-",M260)-1)),M260)*220&lt;364240,"Вы уменьшили цену в несколько раз, товар попадет в карантин цен",IF(AND(IFERROR(VALUE(I260),0)=0,ISNUMBER(J260),OR(J260&lt;209,ABS(IFERROR(VALUE(LEFT(M260,FIND("-",M260)-1)),M260))*100&lt;20900)),"Проверьте цену товара. Большинство товаров в выбранной категории стоят дороже 209",""))))),"")</f>
      </c>
    </row>
    <row r="261">
      <c r="A261" s="2" t="inlineStr">
        <is>
          <t>Крымский Хан</t>
        </is>
      </c>
      <c r="B261" s="2" t="inlineStr">
        <is>
          <t>Подстаканники</t>
        </is>
      </c>
      <c r="C261" s="2">
        <v>178880847</v>
      </c>
      <c r="D261" s="2" t="inlineStr">
        <is>
          <t>таврида</t>
        </is>
      </c>
      <c r="E261" s="2" t="inlineStr">
        <is>
          <t>2038685058687</t>
        </is>
      </c>
      <c r="F261" s="2">
        <v>18</v>
      </c>
      <c r="G261" s="2">
        <v>0</v>
      </c>
      <c r="H261" s="2">
        <v>28</v>
      </c>
      <c r="I261" s="2" t="inlineStr">
        <is>
          <t>4553</t>
        </is>
      </c>
      <c r="J261" s="4"/>
      <c r="K261" s="2">
        <v>20</v>
      </c>
      <c r="L261" s="6"/>
      <c r="M261" s="2" t="str">
        <f>IF(J261="",ROUND(I261*(1-IF(ISBLANK(L261),K261,L261)/100),2),ROUND(J261*(1-IF(ISBLANK(L261),K261,L261)/100),2))</f>
      </c>
      <c r="N261" s="7" t="str">
        <f>IF(NOT(AND(J261="",L261="")),IF(OR(AND(L261&lt;&gt;"",NOT(ISNUMBER(L261))),IFERROR(MOD(L261,1),1)&gt;0,AND(ISNUMBER(L261),OR(L261&lt;0,L261&gt;95))),"Введите целое число от 0 до 95",IF(OR(AND(J261&lt;&gt;"",NOT(ISNUMBER(J261))),IFERROR(MOD(J261,1),1)&gt;0,AND(ISNUMBER(J261),OR(J261&lt;50,J261&gt;20000000))),"Введите целое число от 50 до 20000000",IF(NOT(ABS(IFERROR(VALUE(LEFT(M261,FIND("-",M261)-1)),M261)*100-(2500+2000000000)/2)&lt;=ABS(2500-2000000000)/2),"Цена со скидкой должна быть от 25 до 20000000",IF(IFERROR(VALUE(LEFT(M261,FIND("-",M261)-1)),M261)*220&lt;364240,"Вы уменьшили цену в несколько раз, товар попадет в карантин цен",IF(AND(IFERROR(VALUE(I261),0)=0,ISNUMBER(J261),OR(J261&lt;209,ABS(IFERROR(VALUE(LEFT(M261,FIND("-",M261)-1)),M261))*100&lt;20900)),"Проверьте цену товара. Большинство товаров в выбранной категории стоят дороже 209",""))))),"")</f>
      </c>
    </row>
    <row r="262">
      <c r="A262" s="2" t="inlineStr">
        <is>
          <t>Крымский Хан</t>
        </is>
      </c>
      <c r="B262" s="2" t="inlineStr">
        <is>
          <t>Подстаканники</t>
        </is>
      </c>
      <c r="C262" s="2">
        <v>164281412</v>
      </c>
      <c r="D262" s="2" t="inlineStr">
        <is>
          <t>герб</t>
        </is>
      </c>
      <c r="E262" s="2" t="inlineStr">
        <is>
          <t>2037970681838</t>
        </is>
      </c>
      <c r="F262" s="2">
        <v>12</v>
      </c>
      <c r="G262" s="2">
        <v>0</v>
      </c>
      <c r="H262" s="2">
        <v>51</v>
      </c>
      <c r="I262" s="2" t="inlineStr">
        <is>
          <t>4553</t>
        </is>
      </c>
      <c r="J262" s="4"/>
      <c r="K262" s="2">
        <v>20</v>
      </c>
      <c r="L262" s="6"/>
      <c r="M262" s="2" t="str">
        <f>IF(J262="",ROUND(I262*(1-IF(ISBLANK(L262),K262,L262)/100),2),ROUND(J262*(1-IF(ISBLANK(L262),K262,L262)/100),2))</f>
      </c>
      <c r="N262" s="7" t="str">
        <f>IF(NOT(AND(J262="",L262="")),IF(OR(AND(L262&lt;&gt;"",NOT(ISNUMBER(L262))),IFERROR(MOD(L262,1),1)&gt;0,AND(ISNUMBER(L262),OR(L262&lt;0,L262&gt;95))),"Введите целое число от 0 до 95",IF(OR(AND(J262&lt;&gt;"",NOT(ISNUMBER(J262))),IFERROR(MOD(J262,1),1)&gt;0,AND(ISNUMBER(J262),OR(J262&lt;50,J262&gt;20000000))),"Введите целое число от 50 до 20000000",IF(NOT(ABS(IFERROR(VALUE(LEFT(M262,FIND("-",M262)-1)),M262)*100-(2500+2000000000)/2)&lt;=ABS(2500-2000000000)/2),"Цена со скидкой должна быть от 25 до 20000000",IF(IFERROR(VALUE(LEFT(M262,FIND("-",M262)-1)),M262)*220&lt;364240,"Вы уменьшили цену в несколько раз, товар попадет в карантин цен",IF(AND(IFERROR(VALUE(I262),0)=0,ISNUMBER(J262),OR(J262&lt;209,ABS(IFERROR(VALUE(LEFT(M262,FIND("-",M262)-1)),M262))*100&lt;20900)),"Проверьте цену товара. Большинство товаров в выбранной категории стоят дороже 209",""))))),"")</f>
      </c>
    </row>
    <row r="263">
      <c r="A263" s="2" t="inlineStr">
        <is>
          <t>Крымский Хан</t>
        </is>
      </c>
      <c r="B263" s="2" t="inlineStr">
        <is>
          <t>Подстаканники</t>
        </is>
      </c>
      <c r="C263" s="2">
        <v>147710657</v>
      </c>
      <c r="D263" s="2" t="inlineStr">
        <is>
          <t>ссср</t>
        </is>
      </c>
      <c r="E263" s="2" t="inlineStr">
        <is>
          <t>2037499463885</t>
        </is>
      </c>
      <c r="F263" s="2">
        <v>15</v>
      </c>
      <c r="G263" s="2">
        <v>0</v>
      </c>
      <c r="H263" s="2">
        <v>17</v>
      </c>
      <c r="I263" s="2" t="inlineStr">
        <is>
          <t>4553</t>
        </is>
      </c>
      <c r="J263" s="4"/>
      <c r="K263" s="2">
        <v>20</v>
      </c>
      <c r="L263" s="6"/>
      <c r="M263" s="2" t="str">
        <f>IF(J263="",ROUND(I263*(1-IF(ISBLANK(L263),K263,L263)/100),2),ROUND(J263*(1-IF(ISBLANK(L263),K263,L263)/100),2))</f>
      </c>
      <c r="N263" s="7" t="str">
        <f>IF(NOT(AND(J263="",L263="")),IF(OR(AND(L263&lt;&gt;"",NOT(ISNUMBER(L263))),IFERROR(MOD(L263,1),1)&gt;0,AND(ISNUMBER(L263),OR(L263&lt;0,L263&gt;95))),"Введите целое число от 0 до 95",IF(OR(AND(J263&lt;&gt;"",NOT(ISNUMBER(J263))),IFERROR(MOD(J263,1),1)&gt;0,AND(ISNUMBER(J263),OR(J263&lt;50,J263&gt;20000000))),"Введите целое число от 50 до 20000000",IF(NOT(ABS(IFERROR(VALUE(LEFT(M263,FIND("-",M263)-1)),M263)*100-(2500+2000000000)/2)&lt;=ABS(2500-2000000000)/2),"Цена со скидкой должна быть от 25 до 20000000",IF(IFERROR(VALUE(LEFT(M263,FIND("-",M263)-1)),M263)*220&lt;364240,"Вы уменьшили цену в несколько раз, товар попадет в карантин цен",IF(AND(IFERROR(VALUE(I263),0)=0,ISNUMBER(J263),OR(J263&lt;209,ABS(IFERROR(VALUE(LEFT(M263,FIND("-",M263)-1)),M263))*100&lt;20900)),"Проверьте цену товара. Большинство товаров в выбранной категории стоят дороже 209",""))))),"")</f>
      </c>
    </row>
    <row r="264">
      <c r="A264" s="2" t="inlineStr">
        <is>
          <t>Крымский Хан</t>
        </is>
      </c>
      <c r="B264" s="2" t="inlineStr">
        <is>
          <t>Подстаканники</t>
        </is>
      </c>
      <c r="C264" s="2">
        <v>178882092</v>
      </c>
      <c r="D264" s="2" t="inlineStr">
        <is>
          <t>ржд</t>
        </is>
      </c>
      <c r="E264" s="2" t="inlineStr">
        <is>
          <t>2038685070719</t>
        </is>
      </c>
      <c r="F264" s="2">
        <v>17</v>
      </c>
      <c r="G264" s="2">
        <v>0</v>
      </c>
      <c r="H264" s="2">
        <v>33</v>
      </c>
      <c r="I264" s="2" t="inlineStr">
        <is>
          <t>4553</t>
        </is>
      </c>
      <c r="J264" s="4"/>
      <c r="K264" s="2">
        <v>20</v>
      </c>
      <c r="L264" s="6"/>
      <c r="M264" s="2" t="str">
        <f>IF(J264="",ROUND(I264*(1-IF(ISBLANK(L264),K264,L264)/100),2),ROUND(J264*(1-IF(ISBLANK(L264),K264,L264)/100),2))</f>
      </c>
      <c r="N264" s="7" t="str">
        <f>IF(NOT(AND(J264="",L264="")),IF(OR(AND(L264&lt;&gt;"",NOT(ISNUMBER(L264))),IFERROR(MOD(L264,1),1)&gt;0,AND(ISNUMBER(L264),OR(L264&lt;0,L264&gt;95))),"Введите целое число от 0 до 95",IF(OR(AND(J264&lt;&gt;"",NOT(ISNUMBER(J264))),IFERROR(MOD(J264,1),1)&gt;0,AND(ISNUMBER(J264),OR(J264&lt;50,J264&gt;20000000))),"Введите целое число от 50 до 20000000",IF(NOT(ABS(IFERROR(VALUE(LEFT(M264,FIND("-",M264)-1)),M264)*100-(2500+2000000000)/2)&lt;=ABS(2500-2000000000)/2),"Цена со скидкой должна быть от 25 до 20000000",IF(IFERROR(VALUE(LEFT(M264,FIND("-",M264)-1)),M264)*220&lt;364240,"Вы уменьшили цену в несколько раз, товар попадет в карантин цен",IF(AND(IFERROR(VALUE(I264),0)=0,ISNUMBER(J264),OR(J264&lt;209,ABS(IFERROR(VALUE(LEFT(M264,FIND("-",M264)-1)),M264))*100&lt;20900)),"Проверьте цену товара. Большинство товаров в выбранной категории стоят дороже 209",""))))),"")</f>
      </c>
    </row>
    <row r="265">
      <c r="A265" s="2" t="inlineStr">
        <is>
          <t>Крымский Хан</t>
        </is>
      </c>
      <c r="B265" s="2" t="inlineStr">
        <is>
          <t>Соусники</t>
        </is>
      </c>
      <c r="C265" s="2">
        <v>163122781</v>
      </c>
      <c r="D265" s="2" t="inlineStr">
        <is>
          <t>соусник</t>
        </is>
      </c>
      <c r="E265" s="2" t="inlineStr">
        <is>
          <t>2037914330969</t>
        </is>
      </c>
      <c r="F265" s="2">
        <v>14</v>
      </c>
      <c r="G265" s="2">
        <v>0</v>
      </c>
      <c r="H265" s="2">
        <v>999</v>
      </c>
      <c r="I265" s="2" t="inlineStr">
        <is>
          <t>3765</t>
        </is>
      </c>
      <c r="J265" s="4"/>
      <c r="K265" s="2">
        <v>20</v>
      </c>
      <c r="L265" s="6"/>
      <c r="M265" s="2" t="str">
        <f>IF(J265="",ROUND(I265*(1-IF(ISBLANK(L265),K265,L265)/100),2),ROUND(J265*(1-IF(ISBLANK(L265),K265,L265)/100),2))</f>
      </c>
      <c r="N265" s="7" t="str">
        <f>IF(NOT(AND(J265="",L265="")),IF(OR(AND(L265&lt;&gt;"",NOT(ISNUMBER(L265))),IFERROR(MOD(L265,1),1)&gt;0,AND(ISNUMBER(L265),OR(L265&lt;0,L265&gt;95))),"Введите целое число от 0 до 95",IF(OR(AND(J265&lt;&gt;"",NOT(ISNUMBER(J265))),IFERROR(MOD(J265,1),1)&gt;0,AND(ISNUMBER(J265),OR(J265&lt;50,J265&gt;20000000))),"Введите целое число от 50 до 20000000",IF(NOT(ABS(IFERROR(VALUE(LEFT(M265,FIND("-",M265)-1)),M265)*100-(2500+2000000000)/2)&lt;=ABS(2500-2000000000)/2),"Цена со скидкой должна быть от 25 до 20000000",IF(IFERROR(VALUE(LEFT(M265,FIND("-",M265)-1)),M265)*220&lt;301200,"Вы уменьшили цену в несколько раз, товар попадет в карантин цен",IF(AND(IFERROR(VALUE(I265),0)=0,ISNUMBER(J265),OR(J265&lt;265,ABS(IFERROR(VALUE(LEFT(M265,FIND("-",M265)-1)),M265))*100&lt;26500)),"Проверьте цену товара. Большинство товаров в выбранной категории стоят дороже 265",""))))),"")</f>
      </c>
    </row>
    <row r="266">
      <c r="A266" s="2" t="inlineStr">
        <is>
          <t>Крымский Хан</t>
        </is>
      </c>
      <c r="B266" s="2" t="inlineStr">
        <is>
          <t>Ложки чайные</t>
        </is>
      </c>
      <c r="C266" s="2">
        <v>94279820</v>
      </c>
      <c r="D266" s="2" t="inlineStr">
        <is>
          <t>KHNEW3006</t>
        </is>
      </c>
      <c r="E266" s="2" t="inlineStr">
        <is>
          <t>2040450225637</t>
        </is>
      </c>
      <c r="F266" s="2" t="inlineStr">
        <is>
          <t/>
        </is>
      </c>
      <c r="G266" s="2" t="inlineStr">
        <is>
          <t/>
        </is>
      </c>
      <c r="H266" s="2">
        <v>0</v>
      </c>
      <c r="I266" s="2" t="inlineStr">
        <is>
          <t>824</t>
        </is>
      </c>
      <c r="J266" s="4"/>
      <c r="K266" s="2">
        <v>15</v>
      </c>
      <c r="L266" s="6"/>
      <c r="M266" s="2" t="str">
        <f>IF(J266="",ROUND(I266*(1-IF(ISBLANK(L266),K266,L266)/100),2),ROUND(J266*(1-IF(ISBLANK(L266),K266,L266)/100),2))</f>
      </c>
      <c r="N266" s="7" t="str">
        <f>IF(NOT(AND(J266="",L266="")),IF(OR(AND(L266&lt;&gt;"",NOT(ISNUMBER(L266))),IFERROR(MOD(L266,1),1)&gt;0,AND(ISNUMBER(L266),OR(L266&lt;0,L266&gt;95))),"Введите целое число от 0 до 95",IF(OR(AND(J266&lt;&gt;"",NOT(ISNUMBER(J266))),IFERROR(MOD(J266,1),1)&gt;0,AND(ISNUMBER(J266),OR(J266&lt;50,J266&gt;20000000))),"Введите целое число от 50 до 20000000",IF(NOT(ABS(IFERROR(VALUE(LEFT(M266,FIND("-",M266)-1)),M266)*100-(2500+2000000000)/2)&lt;=ABS(2500-2000000000)/2),"Цена со скидкой должна быть от 25 до 20000000",IF(IFERROR(VALUE(LEFT(M266,FIND("-",M266)-1)),M266)*220&lt;70040,"Вы уменьшили цену в несколько раз, товар попадет в карантин цен",IF(AND(IFERROR(VALUE(I266),0)=0,ISNUMBER(J266),OR(J266&lt;206,ABS(IFERROR(VALUE(LEFT(M266,FIND("-",M266)-1)),M266))*100&lt;20600)),"Проверьте цену товара. Большинство товаров в выбранной категории стоят дороже 206",""))))),"")</f>
      </c>
    </row>
    <row r="267">
      <c r="A267" s="2" t="inlineStr">
        <is>
          <t>Крымский Хан</t>
        </is>
      </c>
      <c r="B267" s="2" t="inlineStr">
        <is>
          <t>Ложки чайные</t>
        </is>
      </c>
      <c r="C267" s="2">
        <v>47259227</v>
      </c>
      <c r="D267" s="2" t="inlineStr">
        <is>
          <t>KH1334KH1334</t>
        </is>
      </c>
      <c r="E267" s="2" t="inlineStr">
        <is>
          <t>2037429361120</t>
        </is>
      </c>
      <c r="F267" s="2">
        <v>19</v>
      </c>
      <c r="G267" s="2">
        <v>0</v>
      </c>
      <c r="H267" s="2">
        <v>301</v>
      </c>
      <c r="I267" s="2" t="inlineStr">
        <is>
          <t>1295</t>
        </is>
      </c>
      <c r="J267" s="4"/>
      <c r="K267" s="2">
        <v>15</v>
      </c>
      <c r="L267" s="6"/>
      <c r="M267" s="2" t="str">
        <f>IF(J267="",ROUND(I267*(1-IF(ISBLANK(L267),K267,L267)/100),2),ROUND(J267*(1-IF(ISBLANK(L267),K267,L267)/100),2))</f>
      </c>
      <c r="N267" s="7" t="str">
        <f>IF(NOT(AND(J267="",L267="")),IF(OR(AND(L267&lt;&gt;"",NOT(ISNUMBER(L267))),IFERROR(MOD(L267,1),1)&gt;0,AND(ISNUMBER(L267),OR(L267&lt;0,L267&gt;95))),"Введите целое число от 0 до 95",IF(OR(AND(J267&lt;&gt;"",NOT(ISNUMBER(J267))),IFERROR(MOD(J267,1),1)&gt;0,AND(ISNUMBER(J267),OR(J267&lt;50,J267&gt;20000000))),"Введите целое число от 50 до 20000000",IF(NOT(ABS(IFERROR(VALUE(LEFT(M267,FIND("-",M267)-1)),M267)*100-(2500+2000000000)/2)&lt;=ABS(2500-2000000000)/2),"Цена со скидкой должна быть от 25 до 20000000",IF(IFERROR(VALUE(LEFT(M267,FIND("-",M267)-1)),M267)*220&lt;110075,"Вы уменьшили цену в несколько раз, товар попадет в карантин цен",IF(AND(IFERROR(VALUE(I267),0)=0,ISNUMBER(J267),OR(J267&lt;206,ABS(IFERROR(VALUE(LEFT(M267,FIND("-",M267)-1)),M267))*100&lt;20600)),"Проверьте цену товара. Большинство товаров в выбранной категории стоят дороже 206",""))))),"")</f>
      </c>
    </row>
    <row r="268">
      <c r="A268" s="2" t="inlineStr">
        <is>
          <t>Крымский Хан</t>
        </is>
      </c>
      <c r="B268" s="2" t="inlineStr">
        <is>
          <t>Ложки чайные</t>
        </is>
      </c>
      <c r="C268" s="2">
        <v>92137369</v>
      </c>
      <c r="D268" s="2" t="inlineStr">
        <is>
          <t>KHNEW3003</t>
        </is>
      </c>
      <c r="E268" s="2" t="inlineStr">
        <is>
          <t>2038917444639</t>
        </is>
      </c>
      <c r="F268" s="2">
        <v>23</v>
      </c>
      <c r="G268" s="2">
        <v>0</v>
      </c>
      <c r="H268" s="2">
        <v>999</v>
      </c>
      <c r="I268" s="2" t="inlineStr">
        <is>
          <t>1412</t>
        </is>
      </c>
      <c r="J268" s="4"/>
      <c r="K268" s="2">
        <v>25</v>
      </c>
      <c r="L268" s="6"/>
      <c r="M268" s="2" t="str">
        <f>IF(J268="",ROUND(I268*(1-IF(ISBLANK(L268),K268,L268)/100),2),ROUND(J268*(1-IF(ISBLANK(L268),K268,L268)/100),2))</f>
      </c>
      <c r="N268" s="7" t="str">
        <f>IF(NOT(AND(J268="",L268="")),IF(OR(AND(L268&lt;&gt;"",NOT(ISNUMBER(L268))),IFERROR(MOD(L268,1),1)&gt;0,AND(ISNUMBER(L268),OR(L268&lt;0,L268&gt;95))),"Введите целое число от 0 до 95",IF(OR(AND(J268&lt;&gt;"",NOT(ISNUMBER(J268))),IFERROR(MOD(J268,1),1)&gt;0,AND(ISNUMBER(J268),OR(J268&lt;50,J268&gt;20000000))),"Введите целое число от 50 до 20000000",IF(NOT(ABS(IFERROR(VALUE(LEFT(M268,FIND("-",M268)-1)),M268)*100-(2500+2000000000)/2)&lt;=ABS(2500-2000000000)/2),"Цена со скидкой должна быть от 25 до 20000000",IF(IFERROR(VALUE(LEFT(M268,FIND("-",M268)-1)),M268)*220&lt;105900,"Вы уменьшили цену в несколько раз, товар попадет в карантин цен",IF(AND(IFERROR(VALUE(I268),0)=0,ISNUMBER(J268),OR(J268&lt;206,ABS(IFERROR(VALUE(LEFT(M268,FIND("-",M268)-1)),M268))*100&lt;20600)),"Проверьте цену товара. Большинство товаров в выбранной категории стоят дороже 206",""))))),"")</f>
      </c>
    </row>
    <row r="269">
      <c r="A269" s="2" t="inlineStr">
        <is>
          <t>Крымский Хан</t>
        </is>
      </c>
      <c r="B269" s="2" t="inlineStr">
        <is>
          <t>Вилки десертные</t>
        </is>
      </c>
      <c r="C269" s="2">
        <v>67932865</v>
      </c>
      <c r="D269" s="2" t="inlineStr">
        <is>
          <t>v2105v2105</t>
        </is>
      </c>
      <c r="E269" s="2" t="inlineStr">
        <is>
          <t>2022785418038</t>
        </is>
      </c>
      <c r="F269" s="2">
        <v>68</v>
      </c>
      <c r="G269" s="2">
        <v>49</v>
      </c>
      <c r="H269" s="2">
        <v>871</v>
      </c>
      <c r="I269" s="2" t="inlineStr">
        <is>
          <t>1412</t>
        </is>
      </c>
      <c r="J269" s="4"/>
      <c r="K269" s="2">
        <v>10</v>
      </c>
      <c r="L269" s="6"/>
      <c r="M269" s="2" t="str">
        <f>IF(J269="",ROUND(I269*(1-IF(ISBLANK(L269),K269,L269)/100),2),ROUND(J269*(1-IF(ISBLANK(L269),K269,L269)/100),2))</f>
      </c>
      <c r="N269" s="7" t="str">
        <f>IF(NOT(AND(J269="",L269="")),IF(OR(AND(L269&lt;&gt;"",NOT(ISNUMBER(L269))),IFERROR(MOD(L269,1),1)&gt;0,AND(ISNUMBER(L269),OR(L269&lt;0,L269&gt;95))),"Введите целое число от 0 до 95",IF(OR(AND(J269&lt;&gt;"",NOT(ISNUMBER(J269))),IFERROR(MOD(J269,1),1)&gt;0,AND(ISNUMBER(J269),OR(J269&lt;50,J269&gt;20000000))),"Введите целое число от 50 до 20000000",IF(NOT(ABS(IFERROR(VALUE(LEFT(M269,FIND("-",M269)-1)),M269)*100-(2500+2000000000)/2)&lt;=ABS(2500-2000000000)/2),"Цена со скидкой должна быть от 25 до 20000000",IF(IFERROR(VALUE(LEFT(M269,FIND("-",M269)-1)),M269)*220&lt;127080,"Вы уменьшили цену в несколько раз, товар попадет в карантин цен",IF(AND(IFERROR(VALUE(I269),0)=0,ISNUMBER(J269),OR(J269&lt;223,ABS(IFERROR(VALUE(LEFT(M269,FIND("-",M269)-1)),M269))*100&lt;22300)),"Проверьте цену товара. Большинство товаров в выбранной категории стоят дороже 223",""))))),"")</f>
      </c>
    </row>
    <row r="270">
      <c r="A270" s="2" t="inlineStr">
        <is>
          <t>Крымский Хан</t>
        </is>
      </c>
      <c r="B270" s="2" t="inlineStr">
        <is>
          <t>Ложки чайные</t>
        </is>
      </c>
      <c r="C270" s="2">
        <v>32539697</v>
      </c>
      <c r="D270" s="2" t="inlineStr">
        <is>
          <t>GD3131GD3131</t>
        </is>
      </c>
      <c r="E270" s="2" t="inlineStr">
        <is>
          <t>2003804356098</t>
        </is>
      </c>
      <c r="F270" s="2">
        <v>224</v>
      </c>
      <c r="G270" s="2">
        <v>0</v>
      </c>
      <c r="H270" s="2">
        <v>236</v>
      </c>
      <c r="I270" s="2" t="inlineStr">
        <is>
          <t>1765</t>
        </is>
      </c>
      <c r="J270" s="4"/>
      <c r="K270" s="2">
        <v>15</v>
      </c>
      <c r="L270" s="6"/>
      <c r="M270" s="2" t="str">
        <f>IF(J270="",ROUND(I270*(1-IF(ISBLANK(L270),K270,L270)/100),2),ROUND(J270*(1-IF(ISBLANK(L270),K270,L270)/100),2))</f>
      </c>
      <c r="N270" s="7" t="str">
        <f>IF(NOT(AND(J270="",L270="")),IF(OR(AND(L270&lt;&gt;"",NOT(ISNUMBER(L270))),IFERROR(MOD(L270,1),1)&gt;0,AND(ISNUMBER(L270),OR(L270&lt;0,L270&gt;95))),"Введите целое число от 0 до 95",IF(OR(AND(J270&lt;&gt;"",NOT(ISNUMBER(J270))),IFERROR(MOD(J270,1),1)&gt;0,AND(ISNUMBER(J270),OR(J270&lt;50,J270&gt;20000000))),"Введите целое число от 50 до 20000000",IF(NOT(ABS(IFERROR(VALUE(LEFT(M270,FIND("-",M270)-1)),M270)*100-(2500+2000000000)/2)&lt;=ABS(2500-2000000000)/2),"Цена со скидкой должна быть от 25 до 20000000",IF(IFERROR(VALUE(LEFT(M270,FIND("-",M270)-1)),M270)*220&lt;150025,"Вы уменьшили цену в несколько раз, товар попадет в карантин цен",IF(AND(IFERROR(VALUE(I270),0)=0,ISNUMBER(J270),OR(J270&lt;206,ABS(IFERROR(VALUE(LEFT(M270,FIND("-",M270)-1)),M270))*100&lt;20600)),"Проверьте цену товара. Большинство товаров в выбранной категории стоят дороже 206",""))))),"")</f>
      </c>
    </row>
    <row r="271">
      <c r="A271" s="2" t="inlineStr">
        <is>
          <t>Крымские мастера</t>
        </is>
      </c>
      <c r="B271" s="2" t="inlineStr">
        <is>
          <t>Сувенирные ложки</t>
        </is>
      </c>
      <c r="C271" s="2">
        <v>160148841</v>
      </c>
      <c r="D271" s="2" t="inlineStr">
        <is>
          <t>этника сувенирная</t>
        </is>
      </c>
      <c r="E271" s="2" t="inlineStr">
        <is>
          <t>2037798361813</t>
        </is>
      </c>
      <c r="F271" s="2">
        <v>0</v>
      </c>
      <c r="G271" s="2">
        <v>0</v>
      </c>
      <c r="H271" s="2">
        <v>1</v>
      </c>
      <c r="I271" s="2" t="inlineStr">
        <is>
          <t>871</t>
        </is>
      </c>
      <c r="J271" s="4"/>
      <c r="K271" s="2">
        <v>15</v>
      </c>
      <c r="L271" s="6"/>
      <c r="M271" s="2" t="str">
        <f>IF(J271="",ROUND(I271*(1-IF(ISBLANK(L271),K271,L271)/100),2),ROUND(J271*(1-IF(ISBLANK(L271),K271,L271)/100),2))</f>
      </c>
      <c r="N271" s="7" t="str">
        <f>IF(NOT(AND(J271="",L271="")),IF(OR(AND(L271&lt;&gt;"",NOT(ISNUMBER(L271))),IFERROR(MOD(L271,1),1)&gt;0,AND(ISNUMBER(L271),OR(L271&lt;0,L271&gt;95))),"Введите целое число от 0 до 95",IF(OR(AND(J271&lt;&gt;"",NOT(ISNUMBER(J271))),IFERROR(MOD(J271,1),1)&gt;0,AND(ISNUMBER(J271),OR(J271&lt;50,J271&gt;20000000))),"Введите целое число от 50 до 20000000",IF(NOT(ABS(IFERROR(VALUE(LEFT(M271,FIND("-",M271)-1)),M271)*100-(2500+2000000000)/2)&lt;=ABS(2500-2000000000)/2),"Цена со скидкой должна быть от 25 до 20000000",IF(IFERROR(VALUE(LEFT(M271,FIND("-",M271)-1)),M271)*220&lt;74035,"Вы уменьшили цену в несколько раз, товар попадет в карантин цен",IF(AND(IFERROR(VALUE(I271),0)=0,ISNUMBER(J271),OR(J271&lt;295,ABS(IFERROR(VALUE(LEFT(M271,FIND("-",M271)-1)),M271))*100&lt;29500)),"Проверьте цену товара. Большинство товаров в выбранной категории стоят дороже 295",""))))),"")</f>
      </c>
    </row>
    <row r="272">
      <c r="A272" s="2" t="inlineStr">
        <is>
          <t>Крымский Хан</t>
        </is>
      </c>
      <c r="B272" s="2" t="inlineStr">
        <is>
          <t>Диспенсеры кухонные</t>
        </is>
      </c>
      <c r="C272" s="2">
        <v>133978653</v>
      </c>
      <c r="D272" s="2" t="inlineStr">
        <is>
          <t>сол/пер</t>
        </is>
      </c>
      <c r="E272" s="2" t="inlineStr">
        <is>
          <t>2037072766877</t>
        </is>
      </c>
      <c r="F272" s="2">
        <v>8</v>
      </c>
      <c r="G272" s="2">
        <v>0</v>
      </c>
      <c r="H272" s="2">
        <v>130</v>
      </c>
      <c r="I272" s="2" t="inlineStr">
        <is>
          <t>2853</t>
        </is>
      </c>
      <c r="J272" s="4"/>
      <c r="K272" s="2">
        <v>15</v>
      </c>
      <c r="L272" s="6"/>
      <c r="M272" s="2" t="str">
        <f>IF(J272="",ROUND(I272*(1-IF(ISBLANK(L272),K272,L272)/100),2),ROUND(J272*(1-IF(ISBLANK(L272),K272,L272)/100),2))</f>
      </c>
      <c r="N272" s="7" t="str">
        <f>IF(NOT(AND(J272="",L272="")),IF(OR(AND(L272&lt;&gt;"",NOT(ISNUMBER(L272))),IFERROR(MOD(L272,1),1)&gt;0,AND(ISNUMBER(L272),OR(L272&lt;0,L272&gt;95))),"Введите целое число от 0 до 95",IF(OR(AND(J272&lt;&gt;"",NOT(ISNUMBER(J272))),IFERROR(MOD(J272,1),1)&gt;0,AND(ISNUMBER(J272),OR(J272&lt;50,J272&gt;20000000))),"Введите целое число от 50 до 20000000",IF(NOT(ABS(IFERROR(VALUE(LEFT(M272,FIND("-",M272)-1)),M272)*100-(2500+2000000000)/2)&lt;=ABS(2500-2000000000)/2),"Цена со скидкой должна быть от 25 до 20000000",IF(IFERROR(VALUE(LEFT(M272,FIND("-",M272)-1)),M272)*220&lt;242504,"Вы уменьшили цену в несколько раз, товар попадет в карантин цен",IF(AND(IFERROR(VALUE(I272),0)=0,ISNUMBER(J272),OR(J272&lt;336,ABS(IFERROR(VALUE(LEFT(M272,FIND("-",M272)-1)),M272))*100&lt;33600)),"Проверьте цену товара. Большинство товаров в выбранной категории стоят дороже 336",""))))),"")</f>
      </c>
    </row>
    <row r="273">
      <c r="A273" s="2" t="inlineStr">
        <is>
          <t>Крымский Хан</t>
        </is>
      </c>
      <c r="B273" s="2" t="inlineStr">
        <is>
          <t>Ложки чайные</t>
        </is>
      </c>
      <c r="C273" s="2">
        <v>94279818</v>
      </c>
      <c r="D273" s="2" t="inlineStr">
        <is>
          <t>KHNEW3007</t>
        </is>
      </c>
      <c r="E273" s="2" t="inlineStr">
        <is>
          <t>2040450225620</t>
        </is>
      </c>
      <c r="F273" s="2" t="inlineStr">
        <is>
          <t/>
        </is>
      </c>
      <c r="G273" s="2" t="inlineStr">
        <is>
          <t/>
        </is>
      </c>
      <c r="H273" s="2">
        <v>0</v>
      </c>
      <c r="I273" s="2" t="inlineStr">
        <is>
          <t>848</t>
        </is>
      </c>
      <c r="J273" s="4"/>
      <c r="K273" s="2">
        <v>15</v>
      </c>
      <c r="L273" s="6"/>
      <c r="M273" s="2" t="str">
        <f>IF(J273="",ROUND(I273*(1-IF(ISBLANK(L273),K273,L273)/100),2),ROUND(J273*(1-IF(ISBLANK(L273),K273,L273)/100),2))</f>
      </c>
      <c r="N273" s="7" t="str">
        <f>IF(NOT(AND(J273="",L273="")),IF(OR(AND(L273&lt;&gt;"",NOT(ISNUMBER(L273))),IFERROR(MOD(L273,1),1)&gt;0,AND(ISNUMBER(L273),OR(L273&lt;0,L273&gt;95))),"Введите целое число от 0 до 95",IF(OR(AND(J273&lt;&gt;"",NOT(ISNUMBER(J273))),IFERROR(MOD(J273,1),1)&gt;0,AND(ISNUMBER(J273),OR(J273&lt;50,J273&gt;20000000))),"Введите целое число от 50 до 20000000",IF(NOT(ABS(IFERROR(VALUE(LEFT(M273,FIND("-",M273)-1)),M273)*100-(2500+2000000000)/2)&lt;=ABS(2500-2000000000)/2),"Цена со скидкой должна быть от 25 до 20000000",IF(IFERROR(VALUE(LEFT(M273,FIND("-",M273)-1)),M273)*220&lt;72080,"Вы уменьшили цену в несколько раз, товар попадет в карантин цен",IF(AND(IFERROR(VALUE(I273),0)=0,ISNUMBER(J273),OR(J273&lt;206,ABS(IFERROR(VALUE(LEFT(M273,FIND("-",M273)-1)),M273))*100&lt;20600)),"Проверьте цену товара. Большинство товаров в выбранной категории стоят дороже 206",""))))),"")</f>
      </c>
    </row>
    <row r="274">
      <c r="A274" s="2" t="inlineStr">
        <is>
          <t>Крымский Хан</t>
        </is>
      </c>
      <c r="B274" s="2" t="inlineStr">
        <is>
          <t>Щипцы кухонные</t>
        </is>
      </c>
      <c r="C274" s="2">
        <v>122432642</v>
      </c>
      <c r="D274" s="2" t="inlineStr">
        <is>
          <t>колкасахара</t>
        </is>
      </c>
      <c r="E274" s="2" t="inlineStr">
        <is>
          <t>2036953599702</t>
        </is>
      </c>
      <c r="F274" s="2">
        <v>18</v>
      </c>
      <c r="G274" s="2">
        <v>0</v>
      </c>
      <c r="H274" s="2">
        <v>503</v>
      </c>
      <c r="I274" s="2" t="inlineStr">
        <is>
          <t>3000</t>
        </is>
      </c>
      <c r="J274" s="4"/>
      <c r="K274" s="2">
        <v>15</v>
      </c>
      <c r="L274" s="6"/>
      <c r="M274" s="2" t="str">
        <f>IF(J274="",ROUND(I274*(1-IF(ISBLANK(L274),K274,L274)/100),2),ROUND(J274*(1-IF(ISBLANK(L274),K274,L274)/100),2))</f>
      </c>
      <c r="N274" s="7" t="str">
        <f>IF(NOT(AND(J274="",L274="")),IF(OR(AND(L274&lt;&gt;"",NOT(ISNUMBER(L274))),IFERROR(MOD(L274,1),1)&gt;0,AND(ISNUMBER(L274),OR(L274&lt;0,L274&gt;95))),"Введите целое число от 0 до 95",IF(OR(AND(J274&lt;&gt;"",NOT(ISNUMBER(J274))),IFERROR(MOD(J274,1),1)&gt;0,AND(ISNUMBER(J274),OR(J274&lt;50,J274&gt;20000000))),"Введите целое число от 50 до 20000000",IF(NOT(ABS(IFERROR(VALUE(LEFT(M274,FIND("-",M274)-1)),M274)*100-(2500+2000000000)/2)&lt;=ABS(2500-2000000000)/2),"Цена со скидкой должна быть от 25 до 20000000",IF(IFERROR(VALUE(LEFT(M274,FIND("-",M274)-1)),M274)*220&lt;255000,"Вы уменьшили цену в несколько раз, товар попадет в карантин цен",IF(AND(IFERROR(VALUE(I274),0)=0,ISNUMBER(J274),OR(J274&lt;250,ABS(IFERROR(VALUE(LEFT(M274,FIND("-",M274)-1)),M274))*100&lt;25000)),"Проверьте цену товара. Большинство товаров в выбранной категории стоят дороже 250",""))))),"")</f>
      </c>
    </row>
    <row r="275">
      <c r="A275" s="2" t="inlineStr">
        <is>
          <t>Крымский Хан</t>
        </is>
      </c>
      <c r="B275" s="2" t="inlineStr">
        <is>
          <t>Шумовки</t>
        </is>
      </c>
      <c r="C275" s="2">
        <v>164142105</v>
      </c>
      <c r="D275" s="2" t="inlineStr">
        <is>
          <t>шумовка</t>
        </is>
      </c>
      <c r="E275" s="2" t="inlineStr">
        <is>
          <t>2037963104252</t>
        </is>
      </c>
      <c r="F275" s="2">
        <v>25</v>
      </c>
      <c r="G275" s="2">
        <v>2</v>
      </c>
      <c r="H275" s="2">
        <v>360</v>
      </c>
      <c r="I275" s="2" t="inlineStr">
        <is>
          <t>3000</t>
        </is>
      </c>
      <c r="J275" s="4"/>
      <c r="K275" s="2">
        <v>5</v>
      </c>
      <c r="L275" s="6"/>
      <c r="M275" s="2" t="str">
        <f>IF(J275="",ROUND(I275*(1-IF(ISBLANK(L275),K275,L275)/100),2),ROUND(J275*(1-IF(ISBLANK(L275),K275,L275)/100),2))</f>
      </c>
      <c r="N275" s="7" t="str">
        <f>IF(NOT(AND(J275="",L275="")),IF(OR(AND(L275&lt;&gt;"",NOT(ISNUMBER(L275))),IFERROR(MOD(L275,1),1)&gt;0,AND(ISNUMBER(L275),OR(L275&lt;0,L275&gt;95))),"Введите целое число от 0 до 95",IF(OR(AND(J275&lt;&gt;"",NOT(ISNUMBER(J275))),IFERROR(MOD(J275,1),1)&gt;0,AND(ISNUMBER(J275),OR(J275&lt;50,J275&gt;20000000))),"Введите целое число от 50 до 20000000",IF(NOT(ABS(IFERROR(VALUE(LEFT(M275,FIND("-",M275)-1)),M275)*100-(2500+2000000000)/2)&lt;=ABS(2500-2000000000)/2),"Цена со скидкой должна быть от 25 до 20000000",IF(IFERROR(VALUE(LEFT(M275,FIND("-",M275)-1)),M275)*220&lt;285000,"Вы уменьшили цену в несколько раз, товар попадет в карантин цен",IF(AND(IFERROR(VALUE(I275),0)=0,ISNUMBER(J275),OR(J275&lt;294,ABS(IFERROR(VALUE(LEFT(M275,FIND("-",M275)-1)),M275))*100&lt;29400)),"Проверьте цену товара. Большинство товаров в выбранной категории стоят дороже 294",""))))),"")</f>
      </c>
    </row>
    <row r="276">
      <c r="A276" s="2" t="inlineStr">
        <is>
          <t>Крымский Хан</t>
        </is>
      </c>
      <c r="B276" s="2" t="inlineStr">
        <is>
          <t>Лопатки кухонные</t>
        </is>
      </c>
      <c r="C276" s="2">
        <v>164144057</v>
      </c>
      <c r="D276" s="2" t="inlineStr">
        <is>
          <t>лопатка</t>
        </is>
      </c>
      <c r="E276" s="2" t="inlineStr">
        <is>
          <t>2037963140892</t>
        </is>
      </c>
      <c r="F276" s="2">
        <v>16</v>
      </c>
      <c r="G276" s="2">
        <v>0</v>
      </c>
      <c r="H276" s="2">
        <v>476</v>
      </c>
      <c r="I276" s="2" t="inlineStr">
        <is>
          <t>3000</t>
        </is>
      </c>
      <c r="J276" s="4"/>
      <c r="K276" s="2">
        <v>5</v>
      </c>
      <c r="L276" s="6"/>
      <c r="M276" s="2" t="str">
        <f>IF(J276="",ROUND(I276*(1-IF(ISBLANK(L276),K276,L276)/100),2),ROUND(J276*(1-IF(ISBLANK(L276),K276,L276)/100),2))</f>
      </c>
      <c r="N276" s="7" t="str">
        <f>IF(NOT(AND(J276="",L276="")),IF(OR(AND(L276&lt;&gt;"",NOT(ISNUMBER(L276))),IFERROR(MOD(L276,1),1)&gt;0,AND(ISNUMBER(L276),OR(L276&lt;0,L276&gt;95))),"Введите целое число от 0 до 95",IF(OR(AND(J276&lt;&gt;"",NOT(ISNUMBER(J276))),IFERROR(MOD(J276,1),1)&gt;0,AND(ISNUMBER(J276),OR(J276&lt;50,J276&gt;20000000))),"Введите целое число от 50 до 20000000",IF(NOT(ABS(IFERROR(VALUE(LEFT(M276,FIND("-",M276)-1)),M276)*100-(2500+2000000000)/2)&lt;=ABS(2500-2000000000)/2),"Цена со скидкой должна быть от 25 до 20000000",IF(IFERROR(VALUE(LEFT(M276,FIND("-",M276)-1)),M276)*220&lt;285000,"Вы уменьшили цену в несколько раз, товар попадет в карантин цен",IF(AND(IFERROR(VALUE(I276),0)=0,ISNUMBER(J276),OR(J276&lt;232,ABS(IFERROR(VALUE(LEFT(M276,FIND("-",M276)-1)),M276))*100&lt;23200)),"Проверьте цену товара. Большинство товаров в выбранной категории стоят дороже 232",""))))),"")</f>
      </c>
    </row>
    <row r="277">
      <c r="A277" s="2" t="inlineStr">
        <is>
          <t>ZS</t>
        </is>
      </c>
      <c r="B277" s="2" t="inlineStr">
        <is>
          <t>Органайзеры для хранения</t>
        </is>
      </c>
      <c r="C277" s="2">
        <v>53564012</v>
      </c>
      <c r="D277" s="2" t="inlineStr">
        <is>
          <t>g3210розовый</t>
        </is>
      </c>
      <c r="E277" s="2" t="inlineStr">
        <is>
          <t>2015304459049</t>
        </is>
      </c>
      <c r="F277" s="2" t="inlineStr">
        <is>
          <t/>
        </is>
      </c>
      <c r="G277" s="2" t="inlineStr">
        <is>
          <t/>
        </is>
      </c>
      <c r="H277" s="2" t="inlineStr">
        <is>
          <t/>
        </is>
      </c>
      <c r="I277" s="2" t="inlineStr">
        <is>
          <t>685</t>
        </is>
      </c>
      <c r="J277" s="4"/>
      <c r="K277" s="2">
        <v>15</v>
      </c>
      <c r="L277" s="6"/>
      <c r="M277" s="2" t="str">
        <f>IF(J277="",ROUND(I277*(1-IF(ISBLANK(L277),K277,L277)/100),2),ROUND(J277*(1-IF(ISBLANK(L277),K277,L277)/100),2))</f>
      </c>
      <c r="N277" s="7" t="str">
        <f>IF(NOT(AND(J277="",L277="")),IF(OR(AND(L277&lt;&gt;"",NOT(ISNUMBER(L277))),IFERROR(MOD(L277,1),1)&gt;0,AND(ISNUMBER(L277),OR(L277&lt;0,L277&gt;95))),"Введите целое число от 0 до 95",IF(OR(AND(J277&lt;&gt;"",NOT(ISNUMBER(J277))),IFERROR(MOD(J277,1),1)&gt;0,AND(ISNUMBER(J277),OR(J277&lt;50,J277&gt;20000000))),"Введите целое число от 50 до 20000000",IF(NOT(ABS(IFERROR(VALUE(LEFT(M277,FIND("-",M277)-1)),M277)*100-(2500+2000000000)/2)&lt;=ABS(2500-2000000000)/2),"Цена со скидкой должна быть от 25 до 20000000",IF(IFERROR(VALUE(LEFT(M277,FIND("-",M277)-1)),M277)*180&lt;58225,"Вы уменьшили цену в несколько раз, товар попадет в карантин цен",IF(AND(IFERROR(VALUE(I277),0)=0,ISNUMBER(J277),OR(J277&lt;239,ABS(IFERROR(VALUE(LEFT(M277,FIND("-",M277)-1)),M277))*100&lt;23900)),"Проверьте цену товара. Большинство товаров в выбранной категории стоят дороже 239",""))))),"")</f>
      </c>
    </row>
    <row r="278">
      <c r="A278" s="2" t="inlineStr">
        <is>
          <t>Крымский Хан</t>
        </is>
      </c>
      <c r="B278" s="2" t="inlineStr">
        <is>
          <t>Крючки настенные</t>
        </is>
      </c>
      <c r="C278" s="2">
        <v>163122663</v>
      </c>
      <c r="D278" s="2" t="inlineStr">
        <is>
          <t>крючок гранат</t>
        </is>
      </c>
      <c r="E278" s="2" t="inlineStr">
        <is>
          <t>2037914323725</t>
        </is>
      </c>
      <c r="F278" s="2">
        <v>13</v>
      </c>
      <c r="G278" s="2">
        <v>22</v>
      </c>
      <c r="H278" s="2">
        <v>11</v>
      </c>
      <c r="I278" s="2" t="inlineStr">
        <is>
          <t>1059</t>
        </is>
      </c>
      <c r="J278" s="4"/>
      <c r="K278" s="2">
        <v>10</v>
      </c>
      <c r="L278" s="6"/>
      <c r="M278" s="2" t="str">
        <f>IF(J278="",ROUND(I278*(1-IF(ISBLANK(L278),K278,L278)/100),2),ROUND(J278*(1-IF(ISBLANK(L278),K278,L278)/100),2))</f>
      </c>
      <c r="N278" s="7" t="str">
        <f>IF(NOT(AND(J278="",L278="")),IF(OR(AND(L278&lt;&gt;"",NOT(ISNUMBER(L278))),IFERROR(MOD(L278,1),1)&gt;0,AND(ISNUMBER(L278),OR(L278&lt;0,L278&gt;95))),"Введите целое число от 0 до 95",IF(OR(AND(J278&lt;&gt;"",NOT(ISNUMBER(J278))),IFERROR(MOD(J278,1),1)&gt;0,AND(ISNUMBER(J278),OR(J278&lt;50,J278&gt;20000000))),"Введите целое число от 50 до 20000000",IF(NOT(ABS(IFERROR(VALUE(LEFT(M278,FIND("-",M278)-1)),M278)*100-(2500+2000000000)/2)&lt;=ABS(2500-2000000000)/2),"Цена со скидкой должна быть от 25 до 20000000",IF(IFERROR(VALUE(LEFT(M278,FIND("-",M278)-1)),M278)*180&lt;95310,"Вы уменьшили цену в несколько раз, товар попадет в карантин цен",IF(AND(IFERROR(VALUE(I278),0)=0,ISNUMBER(J278),OR(J278&lt;197,ABS(IFERROR(VALUE(LEFT(M278,FIND("-",M278)-1)),M278))*100&lt;19700)),"Проверьте цену товара. Большинство товаров в выбранной категории стоят дороже 197",""))))),"")</f>
      </c>
    </row>
    <row r="279">
      <c r="A279" s="2" t="inlineStr">
        <is>
          <t>ZS</t>
        </is>
      </c>
      <c r="B279" s="2" t="inlineStr">
        <is>
          <t>Органайзеры для хранения</t>
        </is>
      </c>
      <c r="C279" s="2">
        <v>53571811</v>
      </c>
      <c r="D279" s="2" t="inlineStr">
        <is>
          <t>GI5675белый</t>
        </is>
      </c>
      <c r="E279" s="2" t="inlineStr">
        <is>
          <t>2015304459025</t>
        </is>
      </c>
      <c r="F279" s="2" t="inlineStr">
        <is>
          <t/>
        </is>
      </c>
      <c r="G279" s="2" t="inlineStr">
        <is>
          <t/>
        </is>
      </c>
      <c r="H279" s="2" t="inlineStr">
        <is>
          <t/>
        </is>
      </c>
      <c r="I279" s="2" t="inlineStr">
        <is>
          <t>565</t>
        </is>
      </c>
      <c r="J279" s="4"/>
      <c r="K279" s="2">
        <v>15</v>
      </c>
      <c r="L279" s="6"/>
      <c r="M279" s="2" t="str">
        <f>IF(J279="",ROUND(I279*(1-IF(ISBLANK(L279),K279,L279)/100),2),ROUND(J279*(1-IF(ISBLANK(L279),K279,L279)/100),2))</f>
      </c>
      <c r="N279" s="7" t="str">
        <f>IF(NOT(AND(J279="",L279="")),IF(OR(AND(L279&lt;&gt;"",NOT(ISNUMBER(L279))),IFERROR(MOD(L279,1),1)&gt;0,AND(ISNUMBER(L279),OR(L279&lt;0,L279&gt;95))),"Введите целое число от 0 до 95",IF(OR(AND(J279&lt;&gt;"",NOT(ISNUMBER(J279))),IFERROR(MOD(J279,1),1)&gt;0,AND(ISNUMBER(J279),OR(J279&lt;50,J279&gt;20000000))),"Введите целое число от 50 до 20000000",IF(NOT(ABS(IFERROR(VALUE(LEFT(M279,FIND("-",M279)-1)),M279)*100-(2500+2000000000)/2)&lt;=ABS(2500-2000000000)/2),"Цена со скидкой должна быть от 25 до 20000000",IF(IFERROR(VALUE(LEFT(M279,FIND("-",M279)-1)),M279)*180&lt;48025,"Вы уменьшили цену в несколько раз, товар попадет в карантин цен",IF(AND(IFERROR(VALUE(I279),0)=0,ISNUMBER(J279),OR(J279&lt;239,ABS(IFERROR(VALUE(LEFT(M279,FIND("-",M279)-1)),M279))*100&lt;23900)),"Проверьте цену товара. Большинство товаров в выбранной категории стоят дороже 239",""))))),"")</f>
      </c>
    </row>
    <row r="280">
      <c r="A280" s="2" t="inlineStr">
        <is>
          <t>Крымчик</t>
        </is>
      </c>
      <c r="B280" s="2" t="inlineStr">
        <is>
          <t>Конфеты</t>
        </is>
      </c>
      <c r="C280" s="2">
        <v>14109103</v>
      </c>
      <c r="D280" s="2" t="inlineStr">
        <is>
          <t>KR0007KR0007</t>
        </is>
      </c>
      <c r="E280" s="2" t="inlineStr">
        <is>
          <t>4603728198088</t>
        </is>
      </c>
      <c r="F280" s="2" t="inlineStr">
        <is>
          <t/>
        </is>
      </c>
      <c r="G280" s="2" t="inlineStr">
        <is>
          <t/>
        </is>
      </c>
      <c r="H280" s="2">
        <v>0</v>
      </c>
      <c r="I280" s="2" t="inlineStr">
        <is>
          <t>220</t>
        </is>
      </c>
      <c r="J280" s="4"/>
      <c r="K280" s="2">
        <v>15</v>
      </c>
      <c r="L280" s="6"/>
      <c r="M280" s="2" t="str">
        <f>IF(J280="",ROUND(I280*(1-IF(ISBLANK(L280),K280,L280)/100),2),ROUND(J280*(1-IF(ISBLANK(L280),K280,L280)/100),2))</f>
      </c>
      <c r="N280" s="7" t="str">
        <f>IF(NOT(AND(J280="",L280="")),IF(OR(AND(L280&lt;&gt;"",NOT(ISNUMBER(L280))),IFERROR(MOD(L280,1),1)&gt;0,AND(ISNUMBER(L280),OR(L280&lt;0,L280&gt;95))),"Введите целое число от 0 до 95",IF(OR(AND(J280&lt;&gt;"",NOT(ISNUMBER(J280))),IFERROR(MOD(J280,1),1)&gt;0,AND(ISNUMBER(J280),OR(J280&lt;50,J280&gt;20000000))),"Введите целое число от 50 до 20000000",IF(NOT(ABS(IFERROR(VALUE(LEFT(M280,FIND("-",M280)-1)),M280)*100-(2500+2000000000)/2)&lt;=ABS(2500-2000000000)/2),"Цена со скидкой должна быть от 25 до 20000000",IF(IFERROR(VALUE(LEFT(M280,FIND("-",M280)-1)),M280)*210&lt;18700,"Вы уменьшили цену в несколько раз, товар попадет в карантин цен",IF(AND(IFERROR(VALUE(I280),0)=0,ISNUMBER(J280),OR(J280&lt;192,ABS(IFERROR(VALUE(LEFT(M280,FIND("-",M280)-1)),M280))*100&lt;19200)),"Проверьте цену товара. Большинство товаров в выбранной категории стоят дороже 192",""))))),"")</f>
      </c>
    </row>
    <row r="281">
      <c r="A281" s="2" t="inlineStr">
        <is>
          <t>Крымчик</t>
        </is>
      </c>
      <c r="B281" s="2" t="inlineStr">
        <is>
          <t>Конфеты</t>
        </is>
      </c>
      <c r="C281" s="2">
        <v>14962489</v>
      </c>
      <c r="D281" s="2" t="inlineStr">
        <is>
          <t>KR0010KR0010</t>
        </is>
      </c>
      <c r="E281" s="2" t="inlineStr">
        <is>
          <t>2000527733014</t>
        </is>
      </c>
      <c r="F281" s="2" t="inlineStr">
        <is>
          <t/>
        </is>
      </c>
      <c r="G281" s="2" t="inlineStr">
        <is>
          <t/>
        </is>
      </c>
      <c r="H281" s="2" t="inlineStr">
        <is>
          <t/>
        </is>
      </c>
      <c r="I281" s="2" t="inlineStr">
        <is>
          <t>424</t>
        </is>
      </c>
      <c r="J281" s="4"/>
      <c r="K281" s="2">
        <v>15</v>
      </c>
      <c r="L281" s="6"/>
      <c r="M281" s="2" t="str">
        <f>IF(J281="",ROUND(I281*(1-IF(ISBLANK(L281),K281,L281)/100),2),ROUND(J281*(1-IF(ISBLANK(L281),K281,L281)/100),2))</f>
      </c>
      <c r="N281" s="7" t="str">
        <f>IF(NOT(AND(J281="",L281="")),IF(OR(AND(L281&lt;&gt;"",NOT(ISNUMBER(L281))),IFERROR(MOD(L281,1),1)&gt;0,AND(ISNUMBER(L281),OR(L281&lt;0,L281&gt;95))),"Введите целое число от 0 до 95",IF(OR(AND(J281&lt;&gt;"",NOT(ISNUMBER(J281))),IFERROR(MOD(J281,1),1)&gt;0,AND(ISNUMBER(J281),OR(J281&lt;50,J281&gt;20000000))),"Введите целое число от 50 до 20000000",IF(NOT(ABS(IFERROR(VALUE(LEFT(M281,FIND("-",M281)-1)),M281)*100-(2500+2000000000)/2)&lt;=ABS(2500-2000000000)/2),"Цена со скидкой должна быть от 25 до 20000000",IF(IFERROR(VALUE(LEFT(M281,FIND("-",M281)-1)),M281)*210&lt;36040,"Вы уменьшили цену в несколько раз, товар попадет в карантин цен",IF(AND(IFERROR(VALUE(I281),0)=0,ISNUMBER(J281),OR(J281&lt;192,ABS(IFERROR(VALUE(LEFT(M281,FIND("-",M281)-1)),M281))*100&lt;19200)),"Проверьте цену товара. Большинство товаров в выбранной категории стоят дороже 192",""))))),"")</f>
      </c>
    </row>
    <row r="282">
      <c r="A282" s="2" t="inlineStr">
        <is>
          <t>Eska Light</t>
        </is>
      </c>
      <c r="B282" s="2" t="inlineStr">
        <is>
          <t>Светильники</t>
        </is>
      </c>
      <c r="C282" s="2">
        <v>98991824</v>
      </c>
      <c r="D282" s="2" t="inlineStr">
        <is>
          <t>орех_капля</t>
        </is>
      </c>
      <c r="E282" s="2" t="inlineStr">
        <is>
          <t>2036793389891</t>
        </is>
      </c>
      <c r="F282" s="2">
        <v>0</v>
      </c>
      <c r="G282" s="2">
        <v>2</v>
      </c>
      <c r="H282" s="2">
        <v>1</v>
      </c>
      <c r="I282" s="2" t="inlineStr">
        <is>
          <t>20000</t>
        </is>
      </c>
      <c r="J282" s="4"/>
      <c r="K282" s="2">
        <v>52</v>
      </c>
      <c r="L282" s="6"/>
      <c r="M282" s="2" t="str">
        <f>IF(J282="",ROUND(I282*(1-IF(ISBLANK(L282),K282,L282)/100),2),ROUND(J282*(1-IF(ISBLANK(L282),K282,L282)/100),2))</f>
      </c>
      <c r="N282" s="7" t="str">
        <f>IF(NOT(AND(J282="",L282="")),IF(OR(AND(L282&lt;&gt;"",NOT(ISNUMBER(L282))),IFERROR(MOD(L282,1),1)&gt;0,AND(ISNUMBER(L282),OR(L282&lt;0,L282&gt;95))),"Введите целое число от 0 до 95",IF(OR(AND(J282&lt;&gt;"",NOT(ISNUMBER(J282))),IFERROR(MOD(J282,1),1)&gt;0,AND(ISNUMBER(J282),OR(J282&lt;50,J282&gt;20000000))),"Введите целое число от 50 до 20000000",IF(NOT(ABS(IFERROR(VALUE(LEFT(M282,FIND("-",M282)-1)),M282)*100-(2500+2000000000)/2)&lt;=ABS(2500-2000000000)/2),"Цена со скидкой должна быть от 25 до 20000000",IF(IFERROR(VALUE(LEFT(M282,FIND("-",M282)-1)),M282)*220&lt;960000,"Вы уменьшили цену в несколько раз, товар попадет в карантин цен",IF(AND(IFERROR(VALUE(I282),0)=0,ISNUMBER(J282),OR(J282&lt;316,ABS(IFERROR(VALUE(LEFT(M282,FIND("-",M282)-1)),M282))*100&lt;31600)),"Проверьте цену товара. Большинство товаров в выбранной категории стоят дороже 316",""))))),"")</f>
      </c>
    </row>
    <row r="283">
      <c r="A283" s="2" t="inlineStr">
        <is>
          <t/>
        </is>
      </c>
      <c r="B283" s="2" t="inlineStr">
        <is>
          <t>Фигурки и статуэтки</t>
        </is>
      </c>
      <c r="C283" s="2">
        <v>463469035</v>
      </c>
      <c r="D283" s="2" t="inlineStr">
        <is>
          <t>ваза большая</t>
        </is>
      </c>
      <c r="E283" s="2" t="inlineStr">
        <is>
          <t>2044779280100</t>
        </is>
      </c>
      <c r="F283" s="2">
        <v>50</v>
      </c>
      <c r="G283" s="2">
        <v>0</v>
      </c>
      <c r="H283" s="2">
        <v>262</v>
      </c>
      <c r="I283" s="2" t="inlineStr">
        <is>
          <t>2824</t>
        </is>
      </c>
      <c r="J283" s="4"/>
      <c r="K283" s="2">
        <v>10</v>
      </c>
      <c r="L283" s="6"/>
      <c r="M283" s="2" t="str">
        <f>IF(J283="",ROUND(I283*(1-IF(ISBLANK(L283),K283,L283)/100),2),ROUND(J283*(1-IF(ISBLANK(L283),K283,L283)/100),2))</f>
      </c>
      <c r="N283" s="7" t="str">
        <f>IF(NOT(AND(J283="",L283="")),IF(OR(AND(L283&lt;&gt;"",NOT(ISNUMBER(L283))),IFERROR(MOD(L283,1),1)&gt;0,AND(ISNUMBER(L283),OR(L283&lt;0,L283&gt;95))),"Введите целое число от 0 до 95",IF(OR(AND(J283&lt;&gt;"",NOT(ISNUMBER(J283))),IFERROR(MOD(J283,1),1)&gt;0,AND(ISNUMBER(J283),OR(J283&lt;50,J283&gt;20000000))),"Введите целое число от 50 до 20000000",IF(NOT(ABS(IFERROR(VALUE(LEFT(M283,FIND("-",M283)-1)),M283)*100-(2500+2000000000)/2)&lt;=ABS(2500-2000000000)/2),"Цена со скидкой должна быть от 25 до 20000000",IF(IFERROR(VALUE(LEFT(M283,FIND("-",M283)-1)),M283)*200&lt;254160,"Вы уменьшили цену в несколько раз, товар попадет в карантин цен",IF(AND(IFERROR(VALUE(I283),0)=0,ISNUMBER(J283),OR(J283&lt;193,ABS(IFERROR(VALUE(LEFT(M283,FIND("-",M283)-1)),M283))*100&lt;19300)),"Проверьте цену товара. Большинство товаров в выбранной категории стоят дороже 193",""))))),"")</f>
      </c>
    </row>
    <row r="284">
      <c r="A284" s="2" t="inlineStr">
        <is>
          <t>Крымский Хан</t>
        </is>
      </c>
      <c r="B284" s="2" t="inlineStr">
        <is>
          <t>Подставки декоративные</t>
        </is>
      </c>
      <c r="C284" s="2">
        <v>164279681</v>
      </c>
      <c r="D284" s="2" t="inlineStr">
        <is>
          <t>подставка синяя эмаль</t>
        </is>
      </c>
      <c r="E284" s="2" t="inlineStr">
        <is>
          <t>2037970632687</t>
        </is>
      </c>
      <c r="F284" s="2">
        <v>0</v>
      </c>
      <c r="G284" s="2">
        <v>0</v>
      </c>
      <c r="H284" s="2">
        <v>1</v>
      </c>
      <c r="I284" s="2" t="inlineStr">
        <is>
          <t>1589</t>
        </is>
      </c>
      <c r="J284" s="4"/>
      <c r="K284" s="2">
        <v>15</v>
      </c>
      <c r="L284" s="6"/>
      <c r="M284" s="2" t="str">
        <f>IF(J284="",ROUND(I284*(1-IF(ISBLANK(L284),K284,L284)/100),2),ROUND(J284*(1-IF(ISBLANK(L284),K284,L284)/100),2))</f>
      </c>
      <c r="N284" s="7" t="str">
        <f>IF(NOT(AND(J284="",L284="")),IF(OR(AND(L284&lt;&gt;"",NOT(ISNUMBER(L284))),IFERROR(MOD(L284,1),1)&gt;0,AND(ISNUMBER(L284),OR(L284&lt;0,L284&gt;95))),"Введите целое число от 0 до 95",IF(OR(AND(J284&lt;&gt;"",NOT(ISNUMBER(J284))),IFERROR(MOD(J284,1),1)&gt;0,AND(ISNUMBER(J284),OR(J284&lt;50,J284&gt;20000000))),"Введите целое число от 50 до 20000000",IF(NOT(ABS(IFERROR(VALUE(LEFT(M284,FIND("-",M284)-1)),M284)*100-(2500+2000000000)/2)&lt;=ABS(2500-2000000000)/2),"Цена со скидкой должна быть от 25 до 20000000",IF(IFERROR(VALUE(LEFT(M284,FIND("-",M284)-1)),M284)*200&lt;135065,"Вы уменьшили цену в несколько раз, товар попадет в карантин цен",IF(AND(IFERROR(VALUE(I284),0)=0,ISNUMBER(J284),OR(J284&lt;200,ABS(IFERROR(VALUE(LEFT(M284,FIND("-",M284)-1)),M284))*100&lt;20000)),"Проверьте цену товара. Большинство товаров в выбранной категории стоят дороже 200",""))))),"")</f>
      </c>
    </row>
    <row r="285">
      <c r="A285" s="2" t="inlineStr">
        <is>
          <t>Крымский Хан</t>
        </is>
      </c>
      <c r="B285" s="2" t="inlineStr">
        <is>
          <t>Подсвечники</t>
        </is>
      </c>
      <c r="C285" s="2">
        <v>140585680</v>
      </c>
      <c r="D285" s="2" t="inlineStr">
        <is>
          <t>подсвечник_140585680_140585680</t>
        </is>
      </c>
      <c r="E285" s="2" t="inlineStr">
        <is>
          <t>2037302633580</t>
        </is>
      </c>
      <c r="F285" s="2">
        <v>3</v>
      </c>
      <c r="G285" s="2">
        <v>0</v>
      </c>
      <c r="H285" s="2">
        <v>68</v>
      </c>
      <c r="I285" s="2" t="inlineStr">
        <is>
          <t>3648</t>
        </is>
      </c>
      <c r="J285" s="4"/>
      <c r="K285" s="2">
        <v>25</v>
      </c>
      <c r="L285" s="6"/>
      <c r="M285" s="2" t="str">
        <f>IF(J285="",ROUND(I285*(1-IF(ISBLANK(L285),K285,L285)/100),2),ROUND(J285*(1-IF(ISBLANK(L285),K285,L285)/100),2))</f>
      </c>
      <c r="N285" s="7" t="str">
        <f>IF(NOT(AND(J285="",L285="")),IF(OR(AND(L285&lt;&gt;"",NOT(ISNUMBER(L285))),IFERROR(MOD(L285,1),1)&gt;0,AND(ISNUMBER(L285),OR(L285&lt;0,L285&gt;95))),"Введите целое число от 0 до 95",IF(OR(AND(J285&lt;&gt;"",NOT(ISNUMBER(J285))),IFERROR(MOD(J285,1),1)&gt;0,AND(ISNUMBER(J285),OR(J285&lt;50,J285&gt;20000000))),"Введите целое число от 50 до 20000000",IF(NOT(ABS(IFERROR(VALUE(LEFT(M285,FIND("-",M285)-1)),M285)*100-(2500+2000000000)/2)&lt;=ABS(2500-2000000000)/2),"Цена со скидкой должна быть от 25 до 20000000",IF(IFERROR(VALUE(LEFT(M285,FIND("-",M285)-1)),M285)*200&lt;273600,"Вы уменьшили цену в несколько раз, товар попадет в карантин цен",IF(AND(IFERROR(VALUE(I285),0)=0,ISNUMBER(J285),OR(J285&lt;356,ABS(IFERROR(VALUE(LEFT(M285,FIND("-",M285)-1)),M285))*100&lt;35600)),"Проверьте цену товара. Большинство товаров в выбранной категории стоят дороже 356",""))))),"")</f>
      </c>
    </row>
    <row r="286">
      <c r="A286" s="2" t="inlineStr">
        <is>
          <t>Крымский Хан</t>
        </is>
      </c>
      <c r="B286" s="2" t="inlineStr">
        <is>
          <t>Подсвечники</t>
        </is>
      </c>
      <c r="C286" s="2">
        <v>197468794</v>
      </c>
      <c r="D286" s="2" t="inlineStr">
        <is>
          <t>сырный</t>
        </is>
      </c>
      <c r="E286" s="2" t="inlineStr">
        <is>
          <t>2039214283938</t>
        </is>
      </c>
      <c r="F286" s="2">
        <v>6</v>
      </c>
      <c r="G286" s="2">
        <v>0</v>
      </c>
      <c r="H286" s="2">
        <v>999</v>
      </c>
      <c r="I286" s="2" t="inlineStr">
        <is>
          <t>4000</t>
        </is>
      </c>
      <c r="J286" s="4"/>
      <c r="K286" s="2">
        <v>25</v>
      </c>
      <c r="L286" s="6"/>
      <c r="M286" s="2" t="str">
        <f>IF(J286="",ROUND(I286*(1-IF(ISBLANK(L286),K286,L286)/100),2),ROUND(J286*(1-IF(ISBLANK(L286),K286,L286)/100),2))</f>
      </c>
      <c r="N286" s="7" t="str">
        <f>IF(NOT(AND(J286="",L286="")),IF(OR(AND(L286&lt;&gt;"",NOT(ISNUMBER(L286))),IFERROR(MOD(L286,1),1)&gt;0,AND(ISNUMBER(L286),OR(L286&lt;0,L286&gt;95))),"Введите целое число от 0 до 95",IF(OR(AND(J286&lt;&gt;"",NOT(ISNUMBER(J286))),IFERROR(MOD(J286,1),1)&gt;0,AND(ISNUMBER(J286),OR(J286&lt;50,J286&gt;20000000))),"Введите целое число от 50 до 20000000",IF(NOT(ABS(IFERROR(VALUE(LEFT(M286,FIND("-",M286)-1)),M286)*100-(2500+2000000000)/2)&lt;=ABS(2500-2000000000)/2),"Цена со скидкой должна быть от 25 до 20000000",IF(IFERROR(VALUE(LEFT(M286,FIND("-",M286)-1)),M286)*200&lt;300000,"Вы уменьшили цену в несколько раз, товар попадет в карантин цен",IF(AND(IFERROR(VALUE(I286),0)=0,ISNUMBER(J286),OR(J286&lt;356,ABS(IFERROR(VALUE(LEFT(M286,FIND("-",M286)-1)),M286))*100&lt;35600)),"Проверьте цену товара. Большинство товаров в выбранной категории стоят дороже 356",""))))),"")</f>
      </c>
    </row>
    <row r="287">
      <c r="A287" s="2" t="inlineStr">
        <is>
          <t>Крымский Хан</t>
        </is>
      </c>
      <c r="B287" s="2" t="inlineStr">
        <is>
          <t>Подсвечники</t>
        </is>
      </c>
      <c r="C287" s="2">
        <v>197470290</v>
      </c>
      <c r="D287" s="2" t="inlineStr">
        <is>
          <t>ника</t>
        </is>
      </c>
      <c r="E287" s="2" t="inlineStr">
        <is>
          <t>2039214346374</t>
        </is>
      </c>
      <c r="F287" s="2">
        <v>3</v>
      </c>
      <c r="G287" s="2">
        <v>0</v>
      </c>
      <c r="H287" s="2">
        <v>20</v>
      </c>
      <c r="I287" s="2" t="inlineStr">
        <is>
          <t>4000</t>
        </is>
      </c>
      <c r="J287" s="4"/>
      <c r="K287" s="2">
        <v>27</v>
      </c>
      <c r="L287" s="6"/>
      <c r="M287" s="2" t="str">
        <f>IF(J287="",ROUND(I287*(1-IF(ISBLANK(L287),K287,L287)/100),2),ROUND(J287*(1-IF(ISBLANK(L287),K287,L287)/100),2))</f>
      </c>
      <c r="N287" s="7" t="str">
        <f>IF(NOT(AND(J287="",L287="")),IF(OR(AND(L287&lt;&gt;"",NOT(ISNUMBER(L287))),IFERROR(MOD(L287,1),1)&gt;0,AND(ISNUMBER(L287),OR(L287&lt;0,L287&gt;95))),"Введите целое число от 0 до 95",IF(OR(AND(J287&lt;&gt;"",NOT(ISNUMBER(J287))),IFERROR(MOD(J287,1),1)&gt;0,AND(ISNUMBER(J287),OR(J287&lt;50,J287&gt;20000000))),"Введите целое число от 50 до 20000000",IF(NOT(ABS(IFERROR(VALUE(LEFT(M287,FIND("-",M287)-1)),M287)*100-(2500+2000000000)/2)&lt;=ABS(2500-2000000000)/2),"Цена со скидкой должна быть от 25 до 20000000",IF(IFERROR(VALUE(LEFT(M287,FIND("-",M287)-1)),M287)*200&lt;292000,"Вы уменьшили цену в несколько раз, товар попадет в карантин цен",IF(AND(IFERROR(VALUE(I287),0)=0,ISNUMBER(J287),OR(J287&lt;356,ABS(IFERROR(VALUE(LEFT(M287,FIND("-",M287)-1)),M287))*100&lt;35600)),"Проверьте цену товара. Большинство товаров в выбранной категории стоят дороже 356",""))))),"")</f>
      </c>
    </row>
    <row r="288">
      <c r="A288" s="2" t="inlineStr">
        <is>
          <t/>
        </is>
      </c>
      <c r="B288" s="2" t="inlineStr">
        <is>
          <t>Фигурки и статуэтки</t>
        </is>
      </c>
      <c r="C288" s="2">
        <v>984988894</v>
      </c>
      <c r="D288" s="2" t="inlineStr">
        <is>
          <t>wb1flf7g0q</t>
        </is>
      </c>
      <c r="E288" s="2" t="inlineStr">
        <is>
          <t>2050721549478</t>
        </is>
      </c>
      <c r="F288" s="2">
        <v>10</v>
      </c>
      <c r="G288" s="2">
        <v>0</v>
      </c>
      <c r="H288" s="2">
        <v>999</v>
      </c>
      <c r="I288" s="2" t="inlineStr">
        <is>
          <t>3000</t>
        </is>
      </c>
      <c r="J288" s="4"/>
      <c r="K288" s="2">
        <v>0</v>
      </c>
      <c r="L288" s="6"/>
      <c r="M288" s="2" t="str">
        <f>IF(J288="",ROUND(I288*(1-IF(ISBLANK(L288),K288,L288)/100),2),ROUND(J288*(1-IF(ISBLANK(L288),K288,L288)/100),2))</f>
      </c>
      <c r="N288" s="7" t="str">
        <f>IF(NOT(AND(J288="",L288="")),IF(OR(AND(L288&lt;&gt;"",NOT(ISNUMBER(L288))),IFERROR(MOD(L288,1),1)&gt;0,AND(ISNUMBER(L288),OR(L288&lt;0,L288&gt;95))),"Введите целое число от 0 до 95",IF(OR(AND(J288&lt;&gt;"",NOT(ISNUMBER(J288))),IFERROR(MOD(J288,1),1)&gt;0,AND(ISNUMBER(J288),OR(J288&lt;50,J288&gt;20000000))),"Введите целое число от 50 до 20000000",IF(NOT(ABS(IFERROR(VALUE(LEFT(M288,FIND("-",M288)-1)),M288)*100-(2500+2000000000)/2)&lt;=ABS(2500-2000000000)/2),"Цена со скидкой должна быть от 25 до 20000000",IF(IFERROR(VALUE(LEFT(M288,FIND("-",M288)-1)),M288)*200&lt;300000,"Вы уменьшили цену в несколько раз, товар попадет в карантин цен",IF(AND(IFERROR(VALUE(I288),0)=0,ISNUMBER(J288),OR(J288&lt;193,ABS(IFERROR(VALUE(LEFT(M288,FIND("-",M288)-1)),M288))*100&lt;19300)),"Проверьте цену товара. Большинство товаров в выбранной категории стоят дороже 193",""))))),"")</f>
      </c>
    </row>
    <row r="289">
      <c r="A289" s="2" t="inlineStr">
        <is>
          <t/>
        </is>
      </c>
      <c r="B289" s="2" t="inlineStr">
        <is>
          <t>Фигурки и статуэтки</t>
        </is>
      </c>
      <c r="C289" s="2">
        <v>211588970</v>
      </c>
      <c r="D289" s="2" t="inlineStr">
        <is>
          <t>роза стат</t>
        </is>
      </c>
      <c r="E289" s="2" t="inlineStr">
        <is>
          <t>2039539270873</t>
        </is>
      </c>
      <c r="F289" s="2">
        <v>109</v>
      </c>
      <c r="G289" s="2">
        <v>0</v>
      </c>
      <c r="H289" s="2">
        <v>28</v>
      </c>
      <c r="I289" s="2" t="inlineStr">
        <is>
          <t>2200</t>
        </is>
      </c>
      <c r="J289" s="4"/>
      <c r="K289" s="2">
        <v>20</v>
      </c>
      <c r="L289" s="6"/>
      <c r="M289" s="2" t="str">
        <f>IF(J289="",ROUND(I289*(1-IF(ISBLANK(L289),K289,L289)/100),2),ROUND(J289*(1-IF(ISBLANK(L289),K289,L289)/100),2))</f>
      </c>
      <c r="N289" s="7" t="str">
        <f>IF(NOT(AND(J289="",L289="")),IF(OR(AND(L289&lt;&gt;"",NOT(ISNUMBER(L289))),IFERROR(MOD(L289,1),1)&gt;0,AND(ISNUMBER(L289),OR(L289&lt;0,L289&gt;95))),"Введите целое число от 0 до 95",IF(OR(AND(J289&lt;&gt;"",NOT(ISNUMBER(J289))),IFERROR(MOD(J289,1),1)&gt;0,AND(ISNUMBER(J289),OR(J289&lt;50,J289&gt;20000000))),"Введите целое число от 50 до 20000000",IF(NOT(ABS(IFERROR(VALUE(LEFT(M289,FIND("-",M289)-1)),M289)*100-(2500+2000000000)/2)&lt;=ABS(2500-2000000000)/2),"Цена со скидкой должна быть от 25 до 20000000",IF(IFERROR(VALUE(LEFT(M289,FIND("-",M289)-1)),M289)*200&lt;176000,"Вы уменьшили цену в несколько раз, товар попадет в карантин цен",IF(AND(IFERROR(VALUE(I289),0)=0,ISNUMBER(J289),OR(J289&lt;193,ABS(IFERROR(VALUE(LEFT(M289,FIND("-",M289)-1)),M289))*100&lt;19300)),"Проверьте цену товара. Большинство товаров в выбранной категории стоят дороже 193",""))))),"")</f>
      </c>
    </row>
    <row r="290">
      <c r="A290" s="2" t="inlineStr">
        <is>
          <t>Крымский Хан</t>
        </is>
      </c>
      <c r="B290" s="2" t="inlineStr">
        <is>
          <t>Подсвечники</t>
        </is>
      </c>
      <c r="C290" s="2">
        <v>197469427</v>
      </c>
      <c r="D290" s="2" t="inlineStr">
        <is>
          <t>элегантный</t>
        </is>
      </c>
      <c r="E290" s="2" t="inlineStr">
        <is>
          <t>2039214313246</t>
        </is>
      </c>
      <c r="F290" s="2">
        <v>8</v>
      </c>
      <c r="G290" s="2">
        <v>0</v>
      </c>
      <c r="H290" s="2">
        <v>999</v>
      </c>
      <c r="I290" s="2" t="inlineStr">
        <is>
          <t>4000</t>
        </is>
      </c>
      <c r="J290" s="4"/>
      <c r="K290" s="2">
        <v>25</v>
      </c>
      <c r="L290" s="6"/>
      <c r="M290" s="2" t="str">
        <f>IF(J290="",ROUND(I290*(1-IF(ISBLANK(L290),K290,L290)/100),2),ROUND(J290*(1-IF(ISBLANK(L290),K290,L290)/100),2))</f>
      </c>
      <c r="N290" s="7" t="str">
        <f>IF(NOT(AND(J290="",L290="")),IF(OR(AND(L290&lt;&gt;"",NOT(ISNUMBER(L290))),IFERROR(MOD(L290,1),1)&gt;0,AND(ISNUMBER(L290),OR(L290&lt;0,L290&gt;95))),"Введите целое число от 0 до 95",IF(OR(AND(J290&lt;&gt;"",NOT(ISNUMBER(J290))),IFERROR(MOD(J290,1),1)&gt;0,AND(ISNUMBER(J290),OR(J290&lt;50,J290&gt;20000000))),"Введите целое число от 50 до 20000000",IF(NOT(ABS(IFERROR(VALUE(LEFT(M290,FIND("-",M290)-1)),M290)*100-(2500+2000000000)/2)&lt;=ABS(2500-2000000000)/2),"Цена со скидкой должна быть от 25 до 20000000",IF(IFERROR(VALUE(LEFT(M290,FIND("-",M290)-1)),M290)*200&lt;300000,"Вы уменьшили цену в несколько раз, товар попадет в карантин цен",IF(AND(IFERROR(VALUE(I290),0)=0,ISNUMBER(J290),OR(J290&lt;356,ABS(IFERROR(VALUE(LEFT(M290,FIND("-",M290)-1)),M290))*100&lt;35600)),"Проверьте цену товара. Большинство товаров в выбранной категории стоят дороже 356",""))))),"")</f>
      </c>
    </row>
    <row r="291">
      <c r="A291" s="2" t="inlineStr">
        <is>
          <t>Крымский Хан</t>
        </is>
      </c>
      <c r="B291" s="2" t="inlineStr">
        <is>
          <t>Колпачки для тушения свеч</t>
        </is>
      </c>
      <c r="C291" s="2">
        <v>122424650</v>
      </c>
      <c r="D291" s="2" t="inlineStr">
        <is>
          <t>гаситель свечи</t>
        </is>
      </c>
      <c r="E291" s="2" t="inlineStr">
        <is>
          <t>2036953542685</t>
        </is>
      </c>
      <c r="F291" s="2">
        <v>151</v>
      </c>
      <c r="G291" s="2">
        <v>0</v>
      </c>
      <c r="H291" s="2">
        <v>109</v>
      </c>
      <c r="I291" s="2" t="inlineStr">
        <is>
          <t>1706</t>
        </is>
      </c>
      <c r="J291" s="4"/>
      <c r="K291" s="2">
        <v>15</v>
      </c>
      <c r="L291" s="6"/>
      <c r="M291" s="2" t="str">
        <f>IF(J291="",ROUND(I291*(1-IF(ISBLANK(L291),K291,L291)/100),2),ROUND(J291*(1-IF(ISBLANK(L291),K291,L291)/100),2))</f>
      </c>
      <c r="N291" s="7" t="str">
        <f>IF(NOT(AND(J291="",L291="")),IF(OR(AND(L291&lt;&gt;"",NOT(ISNUMBER(L291))),IFERROR(MOD(L291,1),1)&gt;0,AND(ISNUMBER(L291),OR(L291&lt;0,L291&gt;95))),"Введите целое число от 0 до 95",IF(OR(AND(J291&lt;&gt;"",NOT(ISNUMBER(J291))),IFERROR(MOD(J291,1),1)&gt;0,AND(ISNUMBER(J291),OR(J291&lt;50,J291&gt;20000000))),"Введите целое число от 50 до 20000000",IF(NOT(ABS(IFERROR(VALUE(LEFT(M291,FIND("-",M291)-1)),M291)*100-(2500+2000000000)/2)&lt;=ABS(2500-2000000000)/2),"Цена со скидкой должна быть от 25 до 20000000",IF(IFERROR(VALUE(LEFT(M291,FIND("-",M291)-1)),M291)*200&lt;145010,"Вы уменьшили цену в несколько раз, товар попадет в карантин цен",IF(AND(IFERROR(VALUE(I291),0)=0,ISNUMBER(J291),OR(J291&lt;257,ABS(IFERROR(VALUE(LEFT(M291,FIND("-",M291)-1)),M291))*100&lt;25700)),"Проверьте цену товара. Большинство товаров в выбранной категории стоят дороже 257",""))))),"")</f>
      </c>
    </row>
    <row r="292">
      <c r="A292" s="2" t="inlineStr">
        <is>
          <t>Крымский Хан</t>
        </is>
      </c>
      <c r="B292" s="2" t="inlineStr">
        <is>
          <t>Колпачки для тушения свеч</t>
        </is>
      </c>
      <c r="C292" s="2">
        <v>262376288</v>
      </c>
      <c r="D292" s="2" t="inlineStr">
        <is>
          <t>wb7ba870zg</t>
        </is>
      </c>
      <c r="E292" s="2" t="inlineStr">
        <is>
          <t>2041241674818</t>
        </is>
      </c>
      <c r="F292" s="2">
        <v>151</v>
      </c>
      <c r="G292" s="2">
        <v>0</v>
      </c>
      <c r="H292" s="2">
        <v>128</v>
      </c>
      <c r="I292" s="2" t="inlineStr">
        <is>
          <t>1530</t>
        </is>
      </c>
      <c r="J292" s="4"/>
      <c r="K292" s="2">
        <v>15</v>
      </c>
      <c r="L292" s="6"/>
      <c r="M292" s="2" t="str">
        <f>IF(J292="",ROUND(I292*(1-IF(ISBLANK(L292),K292,L292)/100),2),ROUND(J292*(1-IF(ISBLANK(L292),K292,L292)/100),2))</f>
      </c>
      <c r="N292" s="7" t="str">
        <f>IF(NOT(AND(J292="",L292="")),IF(OR(AND(L292&lt;&gt;"",NOT(ISNUMBER(L292))),IFERROR(MOD(L292,1),1)&gt;0,AND(ISNUMBER(L292),OR(L292&lt;0,L292&gt;95))),"Введите целое число от 0 до 95",IF(OR(AND(J292&lt;&gt;"",NOT(ISNUMBER(J292))),IFERROR(MOD(J292,1),1)&gt;0,AND(ISNUMBER(J292),OR(J292&lt;50,J292&gt;20000000))),"Введите целое число от 50 до 20000000",IF(NOT(ABS(IFERROR(VALUE(LEFT(M292,FIND("-",M292)-1)),M292)*100-(2500+2000000000)/2)&lt;=ABS(2500-2000000000)/2),"Цена со скидкой должна быть от 25 до 20000000",IF(IFERROR(VALUE(LEFT(M292,FIND("-",M292)-1)),M292)*200&lt;130050,"Вы уменьшили цену в несколько раз, товар попадет в карантин цен",IF(AND(IFERROR(VALUE(I292),0)=0,ISNUMBER(J292),OR(J292&lt;257,ABS(IFERROR(VALUE(LEFT(M292,FIND("-",M292)-1)),M292))*100&lt;25700)),"Проверьте цену товара. Большинство товаров в выбранной категории стоят дороже 257",""))))),"")</f>
      </c>
    </row>
    <row r="293">
      <c r="A293" s="2" t="inlineStr">
        <is>
          <t>Крымский Хан</t>
        </is>
      </c>
      <c r="B293" s="2" t="inlineStr">
        <is>
          <t>Подсвечники</t>
        </is>
      </c>
      <c r="C293" s="2">
        <v>188978035</v>
      </c>
      <c r="D293" s="2" t="inlineStr">
        <is>
          <t>венера</t>
        </is>
      </c>
      <c r="E293" s="2" t="inlineStr">
        <is>
          <t>2038959631974</t>
        </is>
      </c>
      <c r="F293" s="2">
        <v>9</v>
      </c>
      <c r="G293" s="2">
        <v>5</v>
      </c>
      <c r="H293" s="2">
        <v>94</v>
      </c>
      <c r="I293" s="2" t="inlineStr">
        <is>
          <t>4000</t>
        </is>
      </c>
      <c r="J293" s="4"/>
      <c r="K293" s="2">
        <v>25</v>
      </c>
      <c r="L293" s="6"/>
      <c r="M293" s="2" t="str">
        <f>IF(J293="",ROUND(I293*(1-IF(ISBLANK(L293),K293,L293)/100),2),ROUND(J293*(1-IF(ISBLANK(L293),K293,L293)/100),2))</f>
      </c>
      <c r="N293" s="7" t="str">
        <f>IF(NOT(AND(J293="",L293="")),IF(OR(AND(L293&lt;&gt;"",NOT(ISNUMBER(L293))),IFERROR(MOD(L293,1),1)&gt;0,AND(ISNUMBER(L293),OR(L293&lt;0,L293&gt;95))),"Введите целое число от 0 до 95",IF(OR(AND(J293&lt;&gt;"",NOT(ISNUMBER(J293))),IFERROR(MOD(J293,1),1)&gt;0,AND(ISNUMBER(J293),OR(J293&lt;50,J293&gt;20000000))),"Введите целое число от 50 до 20000000",IF(NOT(ABS(IFERROR(VALUE(LEFT(M293,FIND("-",M293)-1)),M293)*100-(2500+2000000000)/2)&lt;=ABS(2500-2000000000)/2),"Цена со скидкой должна быть от 25 до 20000000",IF(IFERROR(VALUE(LEFT(M293,FIND("-",M293)-1)),M293)*200&lt;300000,"Вы уменьшили цену в несколько раз, товар попадет в карантин цен",IF(AND(IFERROR(VALUE(I293),0)=0,ISNUMBER(J293),OR(J293&lt;356,ABS(IFERROR(VALUE(LEFT(M293,FIND("-",M293)-1)),M293))*100&lt;35600)),"Проверьте цену товара. Большинство товаров в выбранной категории стоят дороже 356",""))))),"")</f>
      </c>
    </row>
    <row r="294">
      <c r="A294" s="2" t="inlineStr">
        <is>
          <t>Крымский Хан</t>
        </is>
      </c>
      <c r="B294" s="2" t="inlineStr">
        <is>
          <t>Подставки декоративные</t>
        </is>
      </c>
      <c r="C294" s="2">
        <v>133981017</v>
      </c>
      <c r="D294" s="2" t="inlineStr">
        <is>
          <t>подставка дерево</t>
        </is>
      </c>
      <c r="E294" s="2" t="inlineStr">
        <is>
          <t>2037072793378</t>
        </is>
      </c>
      <c r="F294" s="2">
        <v>23</v>
      </c>
      <c r="G294" s="2">
        <v>10</v>
      </c>
      <c r="H294" s="2">
        <v>46</v>
      </c>
      <c r="I294" s="2" t="inlineStr">
        <is>
          <t>1765</t>
        </is>
      </c>
      <c r="J294" s="4"/>
      <c r="K294" s="2">
        <v>33</v>
      </c>
      <c r="L294" s="6"/>
      <c r="M294" s="2" t="str">
        <f>IF(J294="",ROUND(I294*(1-IF(ISBLANK(L294),K294,L294)/100),2),ROUND(J294*(1-IF(ISBLANK(L294),K294,L294)/100),2))</f>
      </c>
      <c r="N294" s="7" t="str">
        <f>IF(NOT(AND(J294="",L294="")),IF(OR(AND(L294&lt;&gt;"",NOT(ISNUMBER(L294))),IFERROR(MOD(L294,1),1)&gt;0,AND(ISNUMBER(L294),OR(L294&lt;0,L294&gt;95))),"Введите целое число от 0 до 95",IF(OR(AND(J294&lt;&gt;"",NOT(ISNUMBER(J294))),IFERROR(MOD(J294,1),1)&gt;0,AND(ISNUMBER(J294),OR(J294&lt;50,J294&gt;20000000))),"Введите целое число от 50 до 20000000",IF(NOT(ABS(IFERROR(VALUE(LEFT(M294,FIND("-",M294)-1)),M294)*100-(2500+2000000000)/2)&lt;=ABS(2500-2000000000)/2),"Цена со скидкой должна быть от 25 до 20000000",IF(IFERROR(VALUE(LEFT(M294,FIND("-",M294)-1)),M294)*200&lt;118255,"Вы уменьшили цену в несколько раз, товар попадет в карантин цен",IF(AND(IFERROR(VALUE(I294),0)=0,ISNUMBER(J294),OR(J294&lt;200,ABS(IFERROR(VALUE(LEFT(M294,FIND("-",M294)-1)),M294))*100&lt;20000)),"Проверьте цену товара. Большинство товаров в выбранной категории стоят дороже 200",""))))),"")</f>
      </c>
    </row>
    <row r="295">
      <c r="A295" s="2" t="inlineStr">
        <is>
          <t>Крымский Хан</t>
        </is>
      </c>
      <c r="B295" s="2" t="inlineStr">
        <is>
          <t>Подставки декоративные</t>
        </is>
      </c>
      <c r="C295" s="2">
        <v>133980291</v>
      </c>
      <c r="D295" s="2" t="inlineStr">
        <is>
          <t>фаберже на колесиках</t>
        </is>
      </c>
      <c r="E295" s="2" t="inlineStr">
        <is>
          <t>2037072785458</t>
        </is>
      </c>
      <c r="F295" s="2">
        <v>16</v>
      </c>
      <c r="G295" s="2">
        <v>0</v>
      </c>
      <c r="H295" s="2">
        <v>167</v>
      </c>
      <c r="I295" s="2" t="inlineStr">
        <is>
          <t>3000</t>
        </is>
      </c>
      <c r="J295" s="4"/>
      <c r="K295" s="2">
        <v>12</v>
      </c>
      <c r="L295" s="6"/>
      <c r="M295" s="2" t="str">
        <f>IF(J295="",ROUND(I295*(1-IF(ISBLANK(L295),K295,L295)/100),2),ROUND(J295*(1-IF(ISBLANK(L295),K295,L295)/100),2))</f>
      </c>
      <c r="N295" s="7" t="str">
        <f>IF(NOT(AND(J295="",L295="")),IF(OR(AND(L295&lt;&gt;"",NOT(ISNUMBER(L295))),IFERROR(MOD(L295,1),1)&gt;0,AND(ISNUMBER(L295),OR(L295&lt;0,L295&gt;95))),"Введите целое число от 0 до 95",IF(OR(AND(J295&lt;&gt;"",NOT(ISNUMBER(J295))),IFERROR(MOD(J295,1),1)&gt;0,AND(ISNUMBER(J295),OR(J295&lt;50,J295&gt;20000000))),"Введите целое число от 50 до 20000000",IF(NOT(ABS(IFERROR(VALUE(LEFT(M295,FIND("-",M295)-1)),M295)*100-(2500+2000000000)/2)&lt;=ABS(2500-2000000000)/2),"Цена со скидкой должна быть от 25 до 20000000",IF(IFERROR(VALUE(LEFT(M295,FIND("-",M295)-1)),M295)*200&lt;264000,"Вы уменьшили цену в несколько раз, товар попадет в карантин цен",IF(AND(IFERROR(VALUE(I295),0)=0,ISNUMBER(J295),OR(J295&lt;200,ABS(IFERROR(VALUE(LEFT(M295,FIND("-",M295)-1)),M295))*100&lt;20000)),"Проверьте цену товара. Большинство товаров в выбранной категории стоят дороже 200",""))))),"")</f>
      </c>
    </row>
    <row r="296">
      <c r="A296" s="2" t="inlineStr">
        <is>
          <t>ZS</t>
        </is>
      </c>
      <c r="B296" s="2" t="inlineStr">
        <is>
          <t>Обереги</t>
        </is>
      </c>
      <c r="C296" s="2">
        <v>51468601</v>
      </c>
      <c r="D296" s="2" t="inlineStr">
        <is>
          <t>ZS3384ZS3384</t>
        </is>
      </c>
      <c r="E296" s="2" t="inlineStr">
        <is>
          <t>2013738175023</t>
        </is>
      </c>
      <c r="F296" s="2">
        <v>0</v>
      </c>
      <c r="G296" s="2">
        <v>0</v>
      </c>
      <c r="H296" s="2">
        <v>1</v>
      </c>
      <c r="I296" s="2" t="inlineStr">
        <is>
          <t>600</t>
        </is>
      </c>
      <c r="J296" s="4"/>
      <c r="K296" s="2">
        <v>15</v>
      </c>
      <c r="L296" s="6"/>
      <c r="M296" s="2" t="str">
        <f>IF(J296="",ROUND(I296*(1-IF(ISBLANK(L296),K296,L296)/100),2),ROUND(J296*(1-IF(ISBLANK(L296),K296,L296)/100),2))</f>
      </c>
      <c r="N296" s="7" t="str">
        <f>IF(NOT(AND(J296="",L296="")),IF(OR(AND(L296&lt;&gt;"",NOT(ISNUMBER(L296))),IFERROR(MOD(L296,1),1)&gt;0,AND(ISNUMBER(L296),OR(L296&lt;0,L296&gt;95))),"Введите целое число от 0 до 95",IF(OR(AND(J296&lt;&gt;"",NOT(ISNUMBER(J296))),IFERROR(MOD(J296,1),1)&gt;0,AND(ISNUMBER(J296),OR(J296&lt;50,J296&gt;20000000))),"Введите целое число от 50 до 20000000",IF(NOT(ABS(IFERROR(VALUE(LEFT(M296,FIND("-",M296)-1)),M296)*100-(2500+2000000000)/2)&lt;=ABS(2500-2000000000)/2),"Цена со скидкой должна быть от 25 до 20000000",IF(IFERROR(VALUE(LEFT(M296,FIND("-",M296)-1)),M296)*200&lt;51000,"Вы уменьшили цену в несколько раз, товар попадет в карантин цен",IF(AND(IFERROR(VALUE(I296),0)=0,ISNUMBER(J296),OR(J296&lt;203,ABS(IFERROR(VALUE(LEFT(M296,FIND("-",M296)-1)),M296))*100&lt;20300)),"Проверьте цену товара. Большинство товаров в выбранной категории стоят дороже 203",""))))),"")</f>
      </c>
    </row>
    <row r="297">
      <c r="A297" s="2" t="inlineStr">
        <is>
          <t>Крымский Хан</t>
        </is>
      </c>
      <c r="B297" s="2" t="inlineStr">
        <is>
          <t>Подставки декоративные</t>
        </is>
      </c>
      <c r="C297" s="2">
        <v>133980674</v>
      </c>
      <c r="D297" s="2" t="inlineStr">
        <is>
          <t>подставка эмаль</t>
        </is>
      </c>
      <c r="E297" s="2" t="inlineStr">
        <is>
          <t>2037072791695</t>
        </is>
      </c>
      <c r="F297" s="2">
        <v>0</v>
      </c>
      <c r="G297" s="2">
        <v>0</v>
      </c>
      <c r="H297" s="2">
        <v>1</v>
      </c>
      <c r="I297" s="2" t="inlineStr">
        <is>
          <t>1589</t>
        </is>
      </c>
      <c r="J297" s="4"/>
      <c r="K297" s="2">
        <v>15</v>
      </c>
      <c r="L297" s="6"/>
      <c r="M297" s="2" t="str">
        <f>IF(J297="",ROUND(I297*(1-IF(ISBLANK(L297),K297,L297)/100),2),ROUND(J297*(1-IF(ISBLANK(L297),K297,L297)/100),2))</f>
      </c>
      <c r="N297" s="7" t="str">
        <f>IF(NOT(AND(J297="",L297="")),IF(OR(AND(L297&lt;&gt;"",NOT(ISNUMBER(L297))),IFERROR(MOD(L297,1),1)&gt;0,AND(ISNUMBER(L297),OR(L297&lt;0,L297&gt;95))),"Введите целое число от 0 до 95",IF(OR(AND(J297&lt;&gt;"",NOT(ISNUMBER(J297))),IFERROR(MOD(J297,1),1)&gt;0,AND(ISNUMBER(J297),OR(J297&lt;50,J297&gt;20000000))),"Введите целое число от 50 до 20000000",IF(NOT(ABS(IFERROR(VALUE(LEFT(M297,FIND("-",M297)-1)),M297)*100-(2500+2000000000)/2)&lt;=ABS(2500-2000000000)/2),"Цена со скидкой должна быть от 25 до 20000000",IF(IFERROR(VALUE(LEFT(M297,FIND("-",M297)-1)),M297)*200&lt;135065,"Вы уменьшили цену в несколько раз, товар попадет в карантин цен",IF(AND(IFERROR(VALUE(I297),0)=0,ISNUMBER(J297),OR(J297&lt;200,ABS(IFERROR(VALUE(LEFT(M297,FIND("-",M297)-1)),M297))*100&lt;20000)),"Проверьте цену товара. Большинство товаров в выбранной категории стоят дороже 200",""))))),"")</f>
      </c>
    </row>
    <row r="298">
      <c r="A298" s="2" t="inlineStr">
        <is>
          <t>Крымский Хан</t>
        </is>
      </c>
      <c r="B298" s="2" t="inlineStr">
        <is>
          <t>Подсвечники</t>
        </is>
      </c>
      <c r="C298" s="2">
        <v>155632306</v>
      </c>
      <c r="D298" s="2" t="inlineStr">
        <is>
          <t>подсвечч</t>
        </is>
      </c>
      <c r="E298" s="2" t="inlineStr">
        <is>
          <t>2037690557604</t>
        </is>
      </c>
      <c r="F298" s="2">
        <v>0</v>
      </c>
      <c r="G298" s="2">
        <v>0</v>
      </c>
      <c r="H298" s="2">
        <v>1</v>
      </c>
      <c r="I298" s="2" t="inlineStr">
        <is>
          <t>2706</t>
        </is>
      </c>
      <c r="J298" s="4"/>
      <c r="K298" s="2">
        <v>17</v>
      </c>
      <c r="L298" s="6"/>
      <c r="M298" s="2" t="str">
        <f>IF(J298="",ROUND(I298*(1-IF(ISBLANK(L298),K298,L298)/100),2),ROUND(J298*(1-IF(ISBLANK(L298),K298,L298)/100),2))</f>
      </c>
      <c r="N298" s="7" t="str">
        <f>IF(NOT(AND(J298="",L298="")),IF(OR(AND(L298&lt;&gt;"",NOT(ISNUMBER(L298))),IFERROR(MOD(L298,1),1)&gt;0,AND(ISNUMBER(L298),OR(L298&lt;0,L298&gt;95))),"Введите целое число от 0 до 95",IF(OR(AND(J298&lt;&gt;"",NOT(ISNUMBER(J298))),IFERROR(MOD(J298,1),1)&gt;0,AND(ISNUMBER(J298),OR(J298&lt;50,J298&gt;20000000))),"Введите целое число от 50 до 20000000",IF(NOT(ABS(IFERROR(VALUE(LEFT(M298,FIND("-",M298)-1)),M298)*100-(2500+2000000000)/2)&lt;=ABS(2500-2000000000)/2),"Цена со скидкой должна быть от 25 до 20000000",IF(IFERROR(VALUE(LEFT(M298,FIND("-",M298)-1)),M298)*200&lt;224598,"Вы уменьшили цену в несколько раз, товар попадет в карантин цен",IF(AND(IFERROR(VALUE(I298),0)=0,ISNUMBER(J298),OR(J298&lt;356,ABS(IFERROR(VALUE(LEFT(M298,FIND("-",M298)-1)),M298))*100&lt;35600)),"Проверьте цену товара. Большинство товаров в выбранной категории стоят дороже 356",""))))),"")</f>
      </c>
    </row>
    <row r="299">
      <c r="A299" s="2" t="inlineStr">
        <is>
          <t>Крымский Хан</t>
        </is>
      </c>
      <c r="B299" s="2" t="inlineStr">
        <is>
          <t>Подсвечники</t>
        </is>
      </c>
      <c r="C299" s="2">
        <v>158297963</v>
      </c>
      <c r="D299" s="2" t="inlineStr">
        <is>
          <t>алладинка</t>
        </is>
      </c>
      <c r="E299" s="2" t="inlineStr">
        <is>
          <t>2037738859998</t>
        </is>
      </c>
      <c r="F299" s="2">
        <v>6</v>
      </c>
      <c r="G299" s="2">
        <v>3</v>
      </c>
      <c r="H299" s="2">
        <v>17</v>
      </c>
      <c r="I299" s="2" t="inlineStr">
        <is>
          <t>4000</t>
        </is>
      </c>
      <c r="J299" s="4"/>
      <c r="K299" s="2">
        <v>25</v>
      </c>
      <c r="L299" s="6"/>
      <c r="M299" s="2" t="str">
        <f>IF(J299="",ROUND(I299*(1-IF(ISBLANK(L299),K299,L299)/100),2),ROUND(J299*(1-IF(ISBLANK(L299),K299,L299)/100),2))</f>
      </c>
      <c r="N299" s="7" t="str">
        <f>IF(NOT(AND(J299="",L299="")),IF(OR(AND(L299&lt;&gt;"",NOT(ISNUMBER(L299))),IFERROR(MOD(L299,1),1)&gt;0,AND(ISNUMBER(L299),OR(L299&lt;0,L299&gt;95))),"Введите целое число от 0 до 95",IF(OR(AND(J299&lt;&gt;"",NOT(ISNUMBER(J299))),IFERROR(MOD(J299,1),1)&gt;0,AND(ISNUMBER(J299),OR(J299&lt;50,J299&gt;20000000))),"Введите целое число от 50 до 20000000",IF(NOT(ABS(IFERROR(VALUE(LEFT(M299,FIND("-",M299)-1)),M299)*100-(2500+2000000000)/2)&lt;=ABS(2500-2000000000)/2),"Цена со скидкой должна быть от 25 до 20000000",IF(IFERROR(VALUE(LEFT(M299,FIND("-",M299)-1)),M299)*200&lt;300000,"Вы уменьшили цену в несколько раз, товар попадет в карантин цен",IF(AND(IFERROR(VALUE(I299),0)=0,ISNUMBER(J299),OR(J299&lt;356,ABS(IFERROR(VALUE(LEFT(M299,FIND("-",M299)-1)),M299))*100&lt;35600)),"Проверьте цену товара. Большинство товаров в выбранной категории стоят дороже 356",""))))),"")</f>
      </c>
    </row>
    <row r="300">
      <c r="A300" s="2" t="inlineStr">
        <is>
          <t/>
        </is>
      </c>
      <c r="B300" s="2" t="inlineStr">
        <is>
          <t>Подставки для благовоний</t>
        </is>
      </c>
      <c r="C300" s="2">
        <v>983545420</v>
      </c>
      <c r="D300" s="2" t="inlineStr">
        <is>
          <t>wb6nkrc70q</t>
        </is>
      </c>
      <c r="E300" s="2" t="inlineStr">
        <is>
          <t>2050706288316</t>
        </is>
      </c>
      <c r="F300" s="2">
        <v>10</v>
      </c>
      <c r="G300" s="2">
        <v>0</v>
      </c>
      <c r="H300" s="2">
        <v>999</v>
      </c>
      <c r="I300" s="2" t="inlineStr">
        <is>
          <t>3000</t>
        </is>
      </c>
      <c r="J300" s="4"/>
      <c r="K300" s="2">
        <v>0</v>
      </c>
      <c r="L300" s="6"/>
      <c r="M300" s="2" t="str">
        <f>IF(J300="",ROUND(I300*(1-IF(ISBLANK(L300),K300,L300)/100),2),ROUND(J300*(1-IF(ISBLANK(L300),K300,L300)/100),2))</f>
      </c>
      <c r="N300" s="7" t="str">
        <f>IF(NOT(AND(J300="",L300="")),IF(OR(AND(L300&lt;&gt;"",NOT(ISNUMBER(L300))),IFERROR(MOD(L300,1),1)&gt;0,AND(ISNUMBER(L300),OR(L300&lt;0,L300&gt;95))),"Введите целое число от 0 до 95",IF(OR(AND(J300&lt;&gt;"",NOT(ISNUMBER(J300))),IFERROR(MOD(J300,1),1)&gt;0,AND(ISNUMBER(J300),OR(J300&lt;50,J300&gt;20000000))),"Введите целое число от 50 до 20000000",IF(NOT(ABS(IFERROR(VALUE(LEFT(M300,FIND("-",M300)-1)),M300)*100-(2500+2000000000)/2)&lt;=ABS(2500-2000000000)/2),"Цена со скидкой должна быть от 25 до 20000000",IF(IFERROR(VALUE(LEFT(M300,FIND("-",M300)-1)),M300)*200&lt;300000,"Вы уменьшили цену в несколько раз, товар попадет в карантин цен",IF(AND(IFERROR(VALUE(I300),0)=0,ISNUMBER(J300),OR(J300&lt;363,ABS(IFERROR(VALUE(LEFT(M300,FIND("-",M300)-1)),M300))*100&lt;36300)),"Проверьте цену товара. Большинство товаров в выбранной категории стоят дороже 363",""))))),"")</f>
      </c>
    </row>
    <row r="301">
      <c r="A301" s="2" t="inlineStr">
        <is>
          <t/>
        </is>
      </c>
      <c r="B301" s="2" t="inlineStr">
        <is>
          <t>Фигурки и статуэтки</t>
        </is>
      </c>
      <c r="C301" s="2">
        <v>304802904</v>
      </c>
      <c r="D301" s="2" t="inlineStr">
        <is>
          <t>тюльпан</t>
        </is>
      </c>
      <c r="E301" s="2" t="inlineStr">
        <is>
          <t>2042311222229</t>
        </is>
      </c>
      <c r="F301" s="2">
        <v>222</v>
      </c>
      <c r="G301" s="2">
        <v>30</v>
      </c>
      <c r="H301" s="2">
        <v>119</v>
      </c>
      <c r="I301" s="2" t="inlineStr">
        <is>
          <t>2000</t>
        </is>
      </c>
      <c r="J301" s="4"/>
      <c r="K301" s="2">
        <v>20</v>
      </c>
      <c r="L301" s="6"/>
      <c r="M301" s="2" t="str">
        <f>IF(J301="",ROUND(I301*(1-IF(ISBLANK(L301),K301,L301)/100),2),ROUND(J301*(1-IF(ISBLANK(L301),K301,L301)/100),2))</f>
      </c>
      <c r="N301" s="7" t="str">
        <f>IF(NOT(AND(J301="",L301="")),IF(OR(AND(L301&lt;&gt;"",NOT(ISNUMBER(L301))),IFERROR(MOD(L301,1),1)&gt;0,AND(ISNUMBER(L301),OR(L301&lt;0,L301&gt;95))),"Введите целое число от 0 до 95",IF(OR(AND(J301&lt;&gt;"",NOT(ISNUMBER(J301))),IFERROR(MOD(J301,1),1)&gt;0,AND(ISNUMBER(J301),OR(J301&lt;50,J301&gt;20000000))),"Введите целое число от 50 до 20000000",IF(NOT(ABS(IFERROR(VALUE(LEFT(M301,FIND("-",M301)-1)),M301)*100-(2500+2000000000)/2)&lt;=ABS(2500-2000000000)/2),"Цена со скидкой должна быть от 25 до 20000000",IF(IFERROR(VALUE(LEFT(M301,FIND("-",M301)-1)),M301)*200&lt;160000,"Вы уменьшили цену в несколько раз, товар попадет в карантин цен",IF(AND(IFERROR(VALUE(I301),0)=0,ISNUMBER(J301),OR(J301&lt;193,ABS(IFERROR(VALUE(LEFT(M301,FIND("-",M301)-1)),M301))*100&lt;19300)),"Проверьте цену товара. Большинство товаров в выбранной категории стоят дороже 193",""))))),"")</f>
      </c>
    </row>
    <row r="302">
      <c r="A302" s="2" t="inlineStr">
        <is>
          <t>ZS</t>
        </is>
      </c>
      <c r="B302" s="2" t="inlineStr">
        <is>
          <t>Обереги</t>
        </is>
      </c>
      <c r="C302" s="2">
        <v>43144719</v>
      </c>
      <c r="D302" s="2" t="inlineStr">
        <is>
          <t>ZS3333</t>
        </is>
      </c>
      <c r="E302" s="2" t="inlineStr">
        <is>
          <t>2007618362023</t>
        </is>
      </c>
      <c r="F302" s="2">
        <v>0</v>
      </c>
      <c r="G302" s="2">
        <v>0</v>
      </c>
      <c r="H302" s="2">
        <v>1</v>
      </c>
      <c r="I302" s="2" t="inlineStr">
        <is>
          <t>503</t>
        </is>
      </c>
      <c r="J302" s="4"/>
      <c r="K302" s="2">
        <v>15</v>
      </c>
      <c r="L302" s="6"/>
      <c r="M302" s="2" t="str">
        <f>IF(J302="",ROUND(I302*(1-IF(ISBLANK(L302),K302,L302)/100),2),ROUND(J302*(1-IF(ISBLANK(L302),K302,L302)/100),2))</f>
      </c>
      <c r="N302" s="7" t="str">
        <f>IF(NOT(AND(J302="",L302="")),IF(OR(AND(L302&lt;&gt;"",NOT(ISNUMBER(L302))),IFERROR(MOD(L302,1),1)&gt;0,AND(ISNUMBER(L302),OR(L302&lt;0,L302&gt;95))),"Введите целое число от 0 до 95",IF(OR(AND(J302&lt;&gt;"",NOT(ISNUMBER(J302))),IFERROR(MOD(J302,1),1)&gt;0,AND(ISNUMBER(J302),OR(J302&lt;50,J302&gt;20000000))),"Введите целое число от 50 до 20000000",IF(NOT(ABS(IFERROR(VALUE(LEFT(M302,FIND("-",M302)-1)),M302)*100-(2500+2000000000)/2)&lt;=ABS(2500-2000000000)/2),"Цена со скидкой должна быть от 25 до 20000000",IF(IFERROR(VALUE(LEFT(M302,FIND("-",M302)-1)),M302)*200&lt;42755,"Вы уменьшили цену в несколько раз, товар попадет в карантин цен",IF(AND(IFERROR(VALUE(I302),0)=0,ISNUMBER(J302),OR(J302&lt;203,ABS(IFERROR(VALUE(LEFT(M302,FIND("-",M302)-1)),M302))*100&lt;20300)),"Проверьте цену товара. Большинство товаров в выбранной категории стоят дороже 203",""))))),"")</f>
      </c>
    </row>
    <row r="303">
      <c r="A303" s="2" t="inlineStr">
        <is>
          <t>Крымский Хан</t>
        </is>
      </c>
      <c r="B303" s="2" t="inlineStr">
        <is>
          <t>Подсвечники</t>
        </is>
      </c>
      <c r="C303" s="2">
        <v>188977592</v>
      </c>
      <c r="D303" s="2" t="inlineStr">
        <is>
          <t>селена</t>
        </is>
      </c>
      <c r="E303" s="2" t="inlineStr">
        <is>
          <t>2038959615073</t>
        </is>
      </c>
      <c r="F303" s="2">
        <v>2</v>
      </c>
      <c r="G303" s="2">
        <v>0</v>
      </c>
      <c r="H303" s="2">
        <v>999</v>
      </c>
      <c r="I303" s="2" t="inlineStr">
        <is>
          <t>4000</t>
        </is>
      </c>
      <c r="J303" s="4"/>
      <c r="K303" s="2">
        <v>25</v>
      </c>
      <c r="L303" s="6"/>
      <c r="M303" s="2" t="str">
        <f>IF(J303="",ROUND(I303*(1-IF(ISBLANK(L303),K303,L303)/100),2),ROUND(J303*(1-IF(ISBLANK(L303),K303,L303)/100),2))</f>
      </c>
      <c r="N303" s="7" t="str">
        <f>IF(NOT(AND(J303="",L303="")),IF(OR(AND(L303&lt;&gt;"",NOT(ISNUMBER(L303))),IFERROR(MOD(L303,1),1)&gt;0,AND(ISNUMBER(L303),OR(L303&lt;0,L303&gt;95))),"Введите целое число от 0 до 95",IF(OR(AND(J303&lt;&gt;"",NOT(ISNUMBER(J303))),IFERROR(MOD(J303,1),1)&gt;0,AND(ISNUMBER(J303),OR(J303&lt;50,J303&gt;20000000))),"Введите целое число от 50 до 20000000",IF(NOT(ABS(IFERROR(VALUE(LEFT(M303,FIND("-",M303)-1)),M303)*100-(2500+2000000000)/2)&lt;=ABS(2500-2000000000)/2),"Цена со скидкой должна быть от 25 до 20000000",IF(IFERROR(VALUE(LEFT(M303,FIND("-",M303)-1)),M303)*200&lt;300000,"Вы уменьшили цену в несколько раз, товар попадет в карантин цен",IF(AND(IFERROR(VALUE(I303),0)=0,ISNUMBER(J303),OR(J303&lt;356,ABS(IFERROR(VALUE(LEFT(M303,FIND("-",M303)-1)),M303))*100&lt;35600)),"Проверьте цену товара. Большинство товаров в выбранной категории стоят дороже 356",""))))),"")</f>
      </c>
    </row>
    <row r="304">
      <c r="A304" s="2" t="inlineStr">
        <is>
          <t>Крымский Хан</t>
        </is>
      </c>
      <c r="B304" s="2" t="inlineStr">
        <is>
          <t>Подставки декоративные</t>
        </is>
      </c>
      <c r="C304" s="2">
        <v>133981064</v>
      </c>
      <c r="D304" s="2" t="inlineStr">
        <is>
          <t>столик</t>
        </is>
      </c>
      <c r="E304" s="2" t="inlineStr">
        <is>
          <t>2037072794160</t>
        </is>
      </c>
      <c r="F304" s="2">
        <v>7</v>
      </c>
      <c r="G304" s="2">
        <v>0</v>
      </c>
      <c r="H304" s="2">
        <v>999</v>
      </c>
      <c r="I304" s="2" t="inlineStr">
        <is>
          <t>2071</t>
        </is>
      </c>
      <c r="J304" s="4"/>
      <c r="K304" s="2">
        <v>32</v>
      </c>
      <c r="L304" s="6"/>
      <c r="M304" s="2" t="str">
        <f>IF(J304="",ROUND(I304*(1-IF(ISBLANK(L304),K304,L304)/100),2),ROUND(J304*(1-IF(ISBLANK(L304),K304,L304)/100),2))</f>
      </c>
      <c r="N304" s="7" t="str">
        <f>IF(NOT(AND(J304="",L304="")),IF(OR(AND(L304&lt;&gt;"",NOT(ISNUMBER(L304))),IFERROR(MOD(L304,1),1)&gt;0,AND(ISNUMBER(L304),OR(L304&lt;0,L304&gt;95))),"Введите целое число от 0 до 95",IF(OR(AND(J304&lt;&gt;"",NOT(ISNUMBER(J304))),IFERROR(MOD(J304,1),1)&gt;0,AND(ISNUMBER(J304),OR(J304&lt;50,J304&gt;20000000))),"Введите целое число от 50 до 20000000",IF(NOT(ABS(IFERROR(VALUE(LEFT(M304,FIND("-",M304)-1)),M304)*100-(2500+2000000000)/2)&lt;=ABS(2500-2000000000)/2),"Цена со скидкой должна быть от 25 до 20000000",IF(IFERROR(VALUE(LEFT(M304,FIND("-",M304)-1)),M304)*200&lt;140828,"Вы уменьшили цену в несколько раз, товар попадет в карантин цен",IF(AND(IFERROR(VALUE(I304),0)=0,ISNUMBER(J304),OR(J304&lt;200,ABS(IFERROR(VALUE(LEFT(M304,FIND("-",M304)-1)),M304))*100&lt;20000)),"Проверьте цену товара. Большинство товаров в выбранной категории стоят дороже 200",""))))),"")</f>
      </c>
    </row>
    <row r="305">
      <c r="A305" s="2" t="inlineStr">
        <is>
          <t>Крымский Хан</t>
        </is>
      </c>
      <c r="B305" s="2" t="inlineStr">
        <is>
          <t>Подсвечники</t>
        </is>
      </c>
      <c r="C305" s="2">
        <v>197470535</v>
      </c>
      <c r="D305" s="2" t="inlineStr">
        <is>
          <t>Луна</t>
        </is>
      </c>
      <c r="E305" s="2" t="inlineStr">
        <is>
          <t>2039214351095</t>
        </is>
      </c>
      <c r="F305" s="2">
        <v>9</v>
      </c>
      <c r="G305" s="2">
        <v>0</v>
      </c>
      <c r="H305" s="2">
        <v>999</v>
      </c>
      <c r="I305" s="2" t="inlineStr">
        <is>
          <t>4000</t>
        </is>
      </c>
      <c r="J305" s="4"/>
      <c r="K305" s="2">
        <v>27</v>
      </c>
      <c r="L305" s="6"/>
      <c r="M305" s="2" t="str">
        <f>IF(J305="",ROUND(I305*(1-IF(ISBLANK(L305),K305,L305)/100),2),ROUND(J305*(1-IF(ISBLANK(L305),K305,L305)/100),2))</f>
      </c>
      <c r="N305" s="7" t="str">
        <f>IF(NOT(AND(J305="",L305="")),IF(OR(AND(L305&lt;&gt;"",NOT(ISNUMBER(L305))),IFERROR(MOD(L305,1),1)&gt;0,AND(ISNUMBER(L305),OR(L305&lt;0,L305&gt;95))),"Введите целое число от 0 до 95",IF(OR(AND(J305&lt;&gt;"",NOT(ISNUMBER(J305))),IFERROR(MOD(J305,1),1)&gt;0,AND(ISNUMBER(J305),OR(J305&lt;50,J305&gt;20000000))),"Введите целое число от 50 до 20000000",IF(NOT(ABS(IFERROR(VALUE(LEFT(M305,FIND("-",M305)-1)),M305)*100-(2500+2000000000)/2)&lt;=ABS(2500-2000000000)/2),"Цена со скидкой должна быть от 25 до 20000000",IF(IFERROR(VALUE(LEFT(M305,FIND("-",M305)-1)),M305)*200&lt;292000,"Вы уменьшили цену в несколько раз, товар попадет в карантин цен",IF(AND(IFERROR(VALUE(I305),0)=0,ISNUMBER(J305),OR(J305&lt;356,ABS(IFERROR(VALUE(LEFT(M305,FIND("-",M305)-1)),M305))*100&lt;35600)),"Проверьте цену товара. Большинство товаров в выбранной категории стоят дороже 356",""))))),"")</f>
      </c>
    </row>
    <row r="306">
      <c r="A306" s="2" t="inlineStr">
        <is>
          <t>Крымский Хан</t>
        </is>
      </c>
      <c r="B306" s="2" t="inlineStr">
        <is>
          <t>Колокольчики</t>
        </is>
      </c>
      <c r="C306" s="2">
        <v>37914457</v>
      </c>
      <c r="D306" s="2" t="inlineStr">
        <is>
          <t>KH3007KH3007</t>
        </is>
      </c>
      <c r="E306" s="2" t="inlineStr">
        <is>
          <t>2006872173123</t>
        </is>
      </c>
      <c r="F306" s="2" t="inlineStr">
        <is>
          <t/>
        </is>
      </c>
      <c r="G306" s="2" t="inlineStr">
        <is>
          <t/>
        </is>
      </c>
      <c r="H306" s="2">
        <v>0</v>
      </c>
      <c r="I306" s="2" t="inlineStr">
        <is>
          <t>505</t>
        </is>
      </c>
      <c r="J306" s="4"/>
      <c r="K306" s="2">
        <v>15</v>
      </c>
      <c r="L306" s="6"/>
      <c r="M306" s="2" t="str">
        <f>IF(J306="",ROUND(I306*(1-IF(ISBLANK(L306),K306,L306)/100),2),ROUND(J306*(1-IF(ISBLANK(L306),K306,L306)/100),2))</f>
      </c>
      <c r="N306" s="7" t="str">
        <f>IF(NOT(AND(J306="",L306="")),IF(OR(AND(L306&lt;&gt;"",NOT(ISNUMBER(L306))),IFERROR(MOD(L306,1),1)&gt;0,AND(ISNUMBER(L306),OR(L306&lt;0,L306&gt;95))),"Введите целое число от 0 до 95",IF(OR(AND(J306&lt;&gt;"",NOT(ISNUMBER(J306))),IFERROR(MOD(J306,1),1)&gt;0,AND(ISNUMBER(J306),OR(J306&lt;50,J306&gt;20000000))),"Введите целое число от 50 до 20000000",IF(NOT(ABS(IFERROR(VALUE(LEFT(M306,FIND("-",M306)-1)),M306)*100-(2500+2000000000)/2)&lt;=ABS(2500-2000000000)/2),"Цена со скидкой должна быть от 25 до 20000000",IF(IFERROR(VALUE(LEFT(M306,FIND("-",M306)-1)),M306)*200&lt;42925,"Вы уменьшили цену в несколько раз, товар попадет в карантин цен",IF(AND(IFERROR(VALUE(I306),0)=0,ISNUMBER(J306),OR(J306&lt;228,ABS(IFERROR(VALUE(LEFT(M306,FIND("-",M306)-1)),M306))*100&lt;22800)),"Проверьте цену товара. Большинство товаров в выбранной категории стоят дороже 228",""))))),"")</f>
      </c>
    </row>
    <row r="307">
      <c r="A307" s="2" t="inlineStr">
        <is>
          <t>ZS</t>
        </is>
      </c>
      <c r="B307" s="2" t="inlineStr">
        <is>
          <t>Обереги</t>
        </is>
      </c>
      <c r="C307" s="2">
        <v>34199642</v>
      </c>
      <c r="D307" s="2" t="inlineStr">
        <is>
          <t>ZS0004голубой</t>
        </is>
      </c>
      <c r="E307" s="2" t="inlineStr">
        <is>
          <t>2004312774008</t>
        </is>
      </c>
      <c r="F307" s="2">
        <v>0</v>
      </c>
      <c r="G307" s="2">
        <v>0</v>
      </c>
      <c r="H307" s="2">
        <v>1</v>
      </c>
      <c r="I307" s="2" t="inlineStr">
        <is>
          <t>486</t>
        </is>
      </c>
      <c r="J307" s="4"/>
      <c r="K307" s="2">
        <v>15</v>
      </c>
      <c r="L307" s="6"/>
      <c r="M307" s="2" t="str">
        <f>IF(J307="",ROUND(I307*(1-IF(ISBLANK(L307),K307,L307)/100),2),ROUND(J307*(1-IF(ISBLANK(L307),K307,L307)/100),2))</f>
      </c>
      <c r="N307" s="7" t="str">
        <f>IF(NOT(AND(J307="",L307="")),IF(OR(AND(L307&lt;&gt;"",NOT(ISNUMBER(L307))),IFERROR(MOD(L307,1),1)&gt;0,AND(ISNUMBER(L307),OR(L307&lt;0,L307&gt;95))),"Введите целое число от 0 до 95",IF(OR(AND(J307&lt;&gt;"",NOT(ISNUMBER(J307))),IFERROR(MOD(J307,1),1)&gt;0,AND(ISNUMBER(J307),OR(J307&lt;50,J307&gt;20000000))),"Введите целое число от 50 до 20000000",IF(NOT(ABS(IFERROR(VALUE(LEFT(M307,FIND("-",M307)-1)),M307)*100-(2500+2000000000)/2)&lt;=ABS(2500-2000000000)/2),"Цена со скидкой должна быть от 25 до 20000000",IF(IFERROR(VALUE(LEFT(M307,FIND("-",M307)-1)),M307)*200&lt;41310,"Вы уменьшили цену в несколько раз, товар попадет в карантин цен",IF(AND(IFERROR(VALUE(I307),0)=0,ISNUMBER(J307),OR(J307&lt;203,ABS(IFERROR(VALUE(LEFT(M307,FIND("-",M307)-1)),M307))*100&lt;20300)),"Проверьте цену товара. Большинство товаров в выбранной категории стоят дороже 203",""))))),"")</f>
      </c>
    </row>
    <row r="308">
      <c r="A308" s="2" t="inlineStr">
        <is>
          <t>ZS</t>
        </is>
      </c>
      <c r="B308" s="2" t="inlineStr">
        <is>
          <t>Обереги</t>
        </is>
      </c>
      <c r="C308" s="2">
        <v>34199641</v>
      </c>
      <c r="D308" s="2" t="inlineStr">
        <is>
          <t>ZS0003желтый</t>
        </is>
      </c>
      <c r="E308" s="2" t="inlineStr">
        <is>
          <t>2004312774015</t>
        </is>
      </c>
      <c r="F308" s="2">
        <v>0</v>
      </c>
      <c r="G308" s="2">
        <v>0</v>
      </c>
      <c r="H308" s="2">
        <v>1</v>
      </c>
      <c r="I308" s="2" t="inlineStr">
        <is>
          <t>768</t>
        </is>
      </c>
      <c r="J308" s="4"/>
      <c r="K308" s="2">
        <v>15</v>
      </c>
      <c r="L308" s="6"/>
      <c r="M308" s="2" t="str">
        <f>IF(J308="",ROUND(I308*(1-IF(ISBLANK(L308),K308,L308)/100),2),ROUND(J308*(1-IF(ISBLANK(L308),K308,L308)/100),2))</f>
      </c>
      <c r="N308" s="7" t="str">
        <f>IF(NOT(AND(J308="",L308="")),IF(OR(AND(L308&lt;&gt;"",NOT(ISNUMBER(L308))),IFERROR(MOD(L308,1),1)&gt;0,AND(ISNUMBER(L308),OR(L308&lt;0,L308&gt;95))),"Введите целое число от 0 до 95",IF(OR(AND(J308&lt;&gt;"",NOT(ISNUMBER(J308))),IFERROR(MOD(J308,1),1)&gt;0,AND(ISNUMBER(J308),OR(J308&lt;50,J308&gt;20000000))),"Введите целое число от 50 до 20000000",IF(NOT(ABS(IFERROR(VALUE(LEFT(M308,FIND("-",M308)-1)),M308)*100-(2500+2000000000)/2)&lt;=ABS(2500-2000000000)/2),"Цена со скидкой должна быть от 25 до 20000000",IF(IFERROR(VALUE(LEFT(M308,FIND("-",M308)-1)),M308)*200&lt;65279,"Вы уменьшили цену в несколько раз, товар попадет в карантин цен",IF(AND(IFERROR(VALUE(I308),0)=0,ISNUMBER(J308),OR(J308&lt;203,ABS(IFERROR(VALUE(LEFT(M308,FIND("-",M308)-1)),M308))*100&lt;20300)),"Проверьте цену товара. Большинство товаров в выбранной категории стоят дороже 203",""))))),"")</f>
      </c>
    </row>
    <row r="309">
      <c r="A309" s="2" t="inlineStr">
        <is>
          <t>ZS</t>
        </is>
      </c>
      <c r="B309" s="2" t="inlineStr">
        <is>
          <t>Обереги</t>
        </is>
      </c>
      <c r="C309" s="2">
        <v>34199639</v>
      </c>
      <c r="D309" s="2" t="inlineStr">
        <is>
          <t>ZS0002розовый</t>
        </is>
      </c>
      <c r="E309" s="2" t="inlineStr">
        <is>
          <t>2004312774022</t>
        </is>
      </c>
      <c r="F309" s="2">
        <v>0</v>
      </c>
      <c r="G309" s="2">
        <v>0</v>
      </c>
      <c r="H309" s="2">
        <v>1</v>
      </c>
      <c r="I309" s="2" t="inlineStr">
        <is>
          <t>565</t>
        </is>
      </c>
      <c r="J309" s="4"/>
      <c r="K309" s="2">
        <v>15</v>
      </c>
      <c r="L309" s="6"/>
      <c r="M309" s="2" t="str">
        <f>IF(J309="",ROUND(I309*(1-IF(ISBLANK(L309),K309,L309)/100),2),ROUND(J309*(1-IF(ISBLANK(L309),K309,L309)/100),2))</f>
      </c>
      <c r="N309" s="7" t="str">
        <f>IF(NOT(AND(J309="",L309="")),IF(OR(AND(L309&lt;&gt;"",NOT(ISNUMBER(L309))),IFERROR(MOD(L309,1),1)&gt;0,AND(ISNUMBER(L309),OR(L309&lt;0,L309&gt;95))),"Введите целое число от 0 до 95",IF(OR(AND(J309&lt;&gt;"",NOT(ISNUMBER(J309))),IFERROR(MOD(J309,1),1)&gt;0,AND(ISNUMBER(J309),OR(J309&lt;50,J309&gt;20000000))),"Введите целое число от 50 до 20000000",IF(NOT(ABS(IFERROR(VALUE(LEFT(M309,FIND("-",M309)-1)),M309)*100-(2500+2000000000)/2)&lt;=ABS(2500-2000000000)/2),"Цена со скидкой должна быть от 25 до 20000000",IF(IFERROR(VALUE(LEFT(M309,FIND("-",M309)-1)),M309)*200&lt;48025,"Вы уменьшили цену в несколько раз, товар попадет в карантин цен",IF(AND(IFERROR(VALUE(I309),0)=0,ISNUMBER(J309),OR(J309&lt;203,ABS(IFERROR(VALUE(LEFT(M309,FIND("-",M309)-1)),M309))*100&lt;20300)),"Проверьте цену товара. Большинство товаров в выбранной категории стоят дороже 203",""))))),"")</f>
      </c>
    </row>
    <row r="310">
      <c r="A310" s="2" t="inlineStr">
        <is>
          <t>ZS</t>
        </is>
      </c>
      <c r="B310" s="2" t="inlineStr">
        <is>
          <t>Обереги</t>
        </is>
      </c>
      <c r="C310" s="2">
        <v>34199638</v>
      </c>
      <c r="D310" s="2" t="inlineStr">
        <is>
          <t>ZS0001синий</t>
        </is>
      </c>
      <c r="E310" s="2" t="inlineStr">
        <is>
          <t>2004312774039</t>
        </is>
      </c>
      <c r="F310" s="2">
        <v>0</v>
      </c>
      <c r="G310" s="2">
        <v>0</v>
      </c>
      <c r="H310" s="2">
        <v>1</v>
      </c>
      <c r="I310" s="2" t="inlineStr">
        <is>
          <t>821</t>
        </is>
      </c>
      <c r="J310" s="4"/>
      <c r="K310" s="2">
        <v>15</v>
      </c>
      <c r="L310" s="6"/>
      <c r="M310" s="2" t="str">
        <f>IF(J310="",ROUND(I310*(1-IF(ISBLANK(L310),K310,L310)/100),2),ROUND(J310*(1-IF(ISBLANK(L310),K310,L310)/100),2))</f>
      </c>
      <c r="N310" s="7" t="str">
        <f>IF(NOT(AND(J310="",L310="")),IF(OR(AND(L310&lt;&gt;"",NOT(ISNUMBER(L310))),IFERROR(MOD(L310,1),1)&gt;0,AND(ISNUMBER(L310),OR(L310&lt;0,L310&gt;95))),"Введите целое число от 0 до 95",IF(OR(AND(J310&lt;&gt;"",NOT(ISNUMBER(J310))),IFERROR(MOD(J310,1),1)&gt;0,AND(ISNUMBER(J310),OR(J310&lt;50,J310&gt;20000000))),"Введите целое число от 50 до 20000000",IF(NOT(ABS(IFERROR(VALUE(LEFT(M310,FIND("-",M310)-1)),M310)*100-(2500+2000000000)/2)&lt;=ABS(2500-2000000000)/2),"Цена со скидкой должна быть от 25 до 20000000",IF(IFERROR(VALUE(LEFT(M310,FIND("-",M310)-1)),M310)*200&lt;69785,"Вы уменьшили цену в несколько раз, товар попадет в карантин цен",IF(AND(IFERROR(VALUE(I310),0)=0,ISNUMBER(J310),OR(J310&lt;203,ABS(IFERROR(VALUE(LEFT(M310,FIND("-",M310)-1)),M310))*100&lt;20300)),"Проверьте цену товара. Большинство товаров в выбранной категории стоят дороже 203",""))))),"")</f>
      </c>
    </row>
    <row r="311">
      <c r="A311" s="2" t="inlineStr">
        <is>
          <t>Крымский Хан</t>
        </is>
      </c>
      <c r="B311" s="2" t="inlineStr">
        <is>
          <t>Колокольчики</t>
        </is>
      </c>
      <c r="C311" s="2">
        <v>218343031</v>
      </c>
      <c r="D311" s="2" t="inlineStr">
        <is>
          <t>колокольчик</t>
        </is>
      </c>
      <c r="E311" s="2" t="inlineStr">
        <is>
          <t>2039685516184</t>
        </is>
      </c>
      <c r="F311" s="2">
        <v>24</v>
      </c>
      <c r="G311" s="2">
        <v>0</v>
      </c>
      <c r="H311" s="2">
        <v>91</v>
      </c>
      <c r="I311" s="2" t="inlineStr">
        <is>
          <t>1177</t>
        </is>
      </c>
      <c r="J311" s="4"/>
      <c r="K311" s="2">
        <v>33</v>
      </c>
      <c r="L311" s="6"/>
      <c r="M311" s="2" t="str">
        <f>IF(J311="",ROUND(I311*(1-IF(ISBLANK(L311),K311,L311)/100),2),ROUND(J311*(1-IF(ISBLANK(L311),K311,L311)/100),2))</f>
      </c>
      <c r="N311" s="7" t="str">
        <f>IF(NOT(AND(J311="",L311="")),IF(OR(AND(L311&lt;&gt;"",NOT(ISNUMBER(L311))),IFERROR(MOD(L311,1),1)&gt;0,AND(ISNUMBER(L311),OR(L311&lt;0,L311&gt;95))),"Введите целое число от 0 до 95",IF(OR(AND(J311&lt;&gt;"",NOT(ISNUMBER(J311))),IFERROR(MOD(J311,1),1)&gt;0,AND(ISNUMBER(J311),OR(J311&lt;50,J311&gt;20000000))),"Введите целое число от 50 до 20000000",IF(NOT(ABS(IFERROR(VALUE(LEFT(M311,FIND("-",M311)-1)),M311)*100-(2500+2000000000)/2)&lt;=ABS(2500-2000000000)/2),"Цена со скидкой должна быть от 25 до 20000000",IF(IFERROR(VALUE(LEFT(M311,FIND("-",M311)-1)),M311)*200&lt;78858,"Вы уменьшили цену в несколько раз, товар попадет в карантин цен",IF(AND(IFERROR(VALUE(I311),0)=0,ISNUMBER(J311),OR(J311&lt;228,ABS(IFERROR(VALUE(LEFT(M311,FIND("-",M311)-1)),M311))*100&lt;22800)),"Проверьте цену товара. Большинство товаров в выбранной категории стоят дороже 228",""))))),"")</f>
      </c>
    </row>
    <row r="312">
      <c r="A312" s="2" t="inlineStr">
        <is>
          <t>Крымский Хан</t>
        </is>
      </c>
      <c r="B312" s="2" t="inlineStr">
        <is>
          <t>Ложки обувные</t>
        </is>
      </c>
      <c r="C312" s="2">
        <v>160147022</v>
      </c>
      <c r="D312" s="2" t="inlineStr">
        <is>
          <t>рожок</t>
        </is>
      </c>
      <c r="E312" s="2" t="inlineStr">
        <is>
          <t>2037798306333</t>
        </is>
      </c>
      <c r="F312" s="2">
        <v>5</v>
      </c>
      <c r="G312" s="2">
        <v>3</v>
      </c>
      <c r="H312" s="2">
        <v>153</v>
      </c>
      <c r="I312" s="2" t="inlineStr">
        <is>
          <t>3495</t>
        </is>
      </c>
      <c r="J312" s="4"/>
      <c r="K312" s="2">
        <v>20</v>
      </c>
      <c r="L312" s="6"/>
      <c r="M312" s="2" t="str">
        <f>IF(J312="",ROUND(I312*(1-IF(ISBLANK(L312),K312,L312)/100),2),ROUND(J312*(1-IF(ISBLANK(L312),K312,L312)/100),2))</f>
      </c>
      <c r="N312" s="7" t="str">
        <f>IF(NOT(AND(J312="",L312="")),IF(OR(AND(L312&lt;&gt;"",NOT(ISNUMBER(L312))),IFERROR(MOD(L312,1),1)&gt;0,AND(ISNUMBER(L312),OR(L312&lt;0,L312&gt;95))),"Введите целое число от 0 до 95",IF(OR(AND(J312&lt;&gt;"",NOT(ISNUMBER(J312))),IFERROR(MOD(J312,1),1)&gt;0,AND(ISNUMBER(J312),OR(J312&lt;50,J312&gt;20000000))),"Введите целое число от 50 до 20000000",IF(NOT(ABS(IFERROR(VALUE(LEFT(M312,FIND("-",M312)-1)),M312)*100-(2500+2000000000)/2)&lt;=ABS(2500-2000000000)/2),"Цена со скидкой должна быть от 25 до 20000000",IF(IFERROR(VALUE(LEFT(M312,FIND("-",M312)-1)),M312)*200&lt;279600,"Вы уменьшили цену в несколько раз, товар попадет в карантин цен",IF(AND(IFERROR(VALUE(I312),0)=0,ISNUMBER(J312),OR(J312&lt;178,ABS(IFERROR(VALUE(LEFT(M312,FIND("-",M312)-1)),M312))*100&lt;17800)),"Проверьте цену товара. Большинство товаров в выбранной категории стоят дороже 178",""))))),"")</f>
      </c>
    </row>
  </sheetData>
  <conditionalFormatting sqref="J2:J312">
    <cfRule type="containsBlanks" priority="1" stopIfTrue="true">
      <formula>LEN(TRIM(J2))=0</formula>
    </cfRule>
    <cfRule type="cellIs" dxfId="1" priority="2" operator="notBetween">
      <formula>50</formula>
      <formula>20000000</formula>
    </cfRule>
  </conditionalFormatting>
  <conditionalFormatting sqref="L2:L312">
    <cfRule type="containsBlanks" priority="3" stopIfTrue="true">
      <formula>LEN(TRIM(L2))=0</formula>
    </cfRule>
    <cfRule type="cellIs" dxfId="1" priority="4" operator="notBetween">
      <formula>0</formula>
      <formula>95</formula>
    </cfRule>
  </conditionalFormatting>
  <conditionalFormatting sqref="N2:N312">
    <cfRule type="cellIs" dxfId="2" priority="5" operator="equal">
      <formula>"Вы уменьшили цену в несколько раз, товар попадет в карантин цен"</formula>
    </cfRule>
    <cfRule type="beginsWith" dxfId="2" priority="6" operator="beginsWith" text="Проверьте цену товара. Большинство товаров в выбранной категории стоят дороже ">
      <formula>LEFT(N2,LEN("Проверьте цену товара. Большинство товаров в выбранной категории стоят дороже "))="Проверьте цену товара. Большинство товаров в выбранной категории стоят дороже "</formula>
    </cfRule>
    <cfRule type="cellIs" dxfId="1" priority="7"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language>ru</dc:language>
  <dcterms:created xsi:type="dcterms:W3CDTF">2006-09-16T00:00:00Z</dcterms:created>
  <dcterms:modified xsi:type="dcterms:W3CDTF">2006-09-16T00:00:00Z</dcterms:modified>
</coreProperties>
</file>